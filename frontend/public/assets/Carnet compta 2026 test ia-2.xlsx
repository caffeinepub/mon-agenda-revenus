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0" yWindow="45" windowWidth="10140" windowHeight="6915" tabRatio="703"/>
  </bookViews>
  <sheets>
    <sheet name="2027 pour imprimer" sheetId="19" r:id="rId1"/>
  </sheets>
  <calcPr calcId="144525"/>
</workbook>
</file>

<file path=xl/calcChain.xml><?xml version="1.0" encoding="utf-8"?>
<calcChain xmlns="http://schemas.openxmlformats.org/spreadsheetml/2006/main">
  <c r="CE28" i="19" l="1"/>
  <c r="CD28" i="19"/>
  <c r="CB28" i="19"/>
  <c r="CC28" i="19"/>
  <c r="CC27" i="19"/>
  <c r="CB26" i="19"/>
  <c r="CE27" i="19" s="1"/>
  <c r="BM28" i="19"/>
  <c r="BN28" i="19"/>
  <c r="BO28" i="19"/>
  <c r="BP28" i="19"/>
  <c r="BQ28" i="19"/>
  <c r="BR28" i="19"/>
  <c r="BS28" i="19"/>
  <c r="BT28" i="19"/>
  <c r="BU28" i="19"/>
  <c r="BV28" i="19"/>
  <c r="BW28" i="19"/>
  <c r="BX28" i="19"/>
  <c r="BY28" i="19"/>
  <c r="BZ28" i="19"/>
  <c r="BL28" i="19"/>
  <c r="AR28" i="19"/>
  <c r="AS28" i="19"/>
  <c r="AT28" i="19"/>
  <c r="AU28" i="19"/>
  <c r="AV28" i="19"/>
  <c r="AW28" i="19"/>
  <c r="AX28" i="19"/>
  <c r="AY28" i="19"/>
  <c r="AZ28" i="19"/>
  <c r="BA28" i="19"/>
  <c r="BB28" i="19"/>
  <c r="BC28" i="19"/>
  <c r="BD28" i="19"/>
  <c r="BE28" i="19"/>
  <c r="BF28" i="19"/>
  <c r="AQ28" i="19"/>
  <c r="C27" i="19" l="1"/>
  <c r="D27" i="19" s="1"/>
  <c r="E27" i="19" s="1"/>
  <c r="F27" i="19" s="1"/>
  <c r="G27" i="19" s="1"/>
  <c r="H27" i="19" s="1"/>
  <c r="I27" i="19" s="1"/>
  <c r="J27" i="19" s="1"/>
  <c r="K27" i="19" s="1"/>
  <c r="L27" i="19" s="1"/>
  <c r="M27" i="19" s="1"/>
  <c r="N27" i="19" s="1"/>
  <c r="O27" i="19" s="1"/>
  <c r="P27" i="19" s="1"/>
  <c r="Q27" i="19" s="1"/>
  <c r="R27" i="19" s="1"/>
  <c r="S27" i="19" s="1"/>
  <c r="T27" i="19" s="1"/>
  <c r="U27" i="19" s="1"/>
  <c r="V27" i="19" s="1"/>
  <c r="W27" i="19" s="1"/>
  <c r="X27" i="19" s="1"/>
  <c r="Y27" i="19" s="1"/>
  <c r="Z27" i="19" s="1"/>
  <c r="AA27" i="19" s="1"/>
  <c r="AB27" i="19" s="1"/>
  <c r="AC27" i="19" s="1"/>
  <c r="AD27" i="19" s="1"/>
  <c r="AE27" i="19" s="1"/>
  <c r="AF27" i="19" s="1"/>
  <c r="CC25" i="19"/>
  <c r="C25" i="19"/>
  <c r="CB24" i="19"/>
  <c r="CE25" i="19" l="1"/>
  <c r="D25" i="19"/>
  <c r="E25" i="19" l="1"/>
  <c r="F25" i="19" l="1"/>
  <c r="G25" i="19" l="1"/>
  <c r="H25" i="19" l="1"/>
  <c r="I25" i="19" l="1"/>
  <c r="J25" i="19" l="1"/>
  <c r="K25" i="19" l="1"/>
  <c r="L25" i="19" l="1"/>
  <c r="M25" i="19" l="1"/>
  <c r="N25" i="19" l="1"/>
  <c r="O25" i="19" l="1"/>
  <c r="P25" i="19" l="1"/>
  <c r="Q25" i="19" l="1"/>
  <c r="R25" i="19" l="1"/>
  <c r="S25" i="19" l="1"/>
  <c r="T25" i="19" l="1"/>
  <c r="U25" i="19" l="1"/>
  <c r="V25" i="19" l="1"/>
  <c r="W25" i="19" l="1"/>
  <c r="X25" i="19" l="1"/>
  <c r="Y25" i="19" l="1"/>
  <c r="Z25" i="19" l="1"/>
  <c r="AA25" i="19" l="1"/>
  <c r="AB25" i="19" l="1"/>
  <c r="AC25" i="19" l="1"/>
  <c r="AD25" i="19" l="1"/>
  <c r="AE25" i="19" l="1"/>
  <c r="AF25" i="19" l="1"/>
</calcChain>
</file>

<file path=xl/sharedStrings.xml><?xml version="1.0" encoding="utf-8"?>
<sst xmlns="http://schemas.openxmlformats.org/spreadsheetml/2006/main" count="49" uniqueCount="22">
  <si>
    <t>Samedi</t>
  </si>
  <si>
    <t>Lundi</t>
  </si>
  <si>
    <t>Mardi</t>
  </si>
  <si>
    <t>Mercredi</t>
  </si>
  <si>
    <t>Jeudi</t>
  </si>
  <si>
    <t>Vendredi</t>
  </si>
  <si>
    <t>Dimanche</t>
  </si>
  <si>
    <t>Crédit élèves</t>
  </si>
  <si>
    <t>Janvier 2027</t>
  </si>
  <si>
    <t>Jean Dupont</t>
  </si>
  <si>
    <t>Alain Dupuit</t>
  </si>
  <si>
    <t>Ligne total payé par jour</t>
  </si>
  <si>
    <t>Date</t>
  </si>
  <si>
    <t>Jour</t>
  </si>
  <si>
    <t>Référence</t>
  </si>
  <si>
    <t>Prénom, Nom</t>
  </si>
  <si>
    <t>Sommes payées =&gt;</t>
  </si>
  <si>
    <t>Sommes à payer =&gt;</t>
  </si>
  <si>
    <t>Colonne des sommes reçu
ce mois-ci</t>
  </si>
  <si>
    <t>Colonne des sommes à payer
du mois</t>
  </si>
  <si>
    <t>Report crédit du mois dernier</t>
  </si>
  <si>
    <t xml:space="preserve"> 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</si>
</sst>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 ;[Red]\-#,##0\ "/>
    <numFmt numFmtId="166" formatCode="#,##0.00_ ;[Red]\-#,##0.00\ 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Comic Sans MS"/>
      <family val="4"/>
    </font>
    <font>
      <sz val="8"/>
      <color theme="1"/>
      <name val="Comic Sans MS"/>
      <family val="4"/>
    </font>
    <font>
      <sz val="11"/>
      <color theme="1"/>
      <name val="Comic Sans MS"/>
      <family val="4"/>
    </font>
    <font>
      <sz val="8"/>
      <color theme="1"/>
      <name val="Tahoma"/>
      <family val="2"/>
    </font>
    <font>
      <sz val="7"/>
      <color theme="1"/>
      <name val="Comic Sans MS"/>
      <family val="4"/>
    </font>
    <font>
      <sz val="7"/>
      <color theme="1"/>
      <name val="Tahoma"/>
      <family val="2"/>
    </font>
    <font>
      <b/>
      <sz val="8"/>
      <color theme="1"/>
      <name val="Comic Sans MS"/>
      <family val="4"/>
    </font>
    <font>
      <sz val="8"/>
      <color rgb="FF00B0F0"/>
      <name val="Tahoma"/>
      <family val="2"/>
    </font>
    <font>
      <sz val="7"/>
      <color rgb="FF000000"/>
      <name val="Tahoma"/>
      <family val="2"/>
    </font>
    <font>
      <b/>
      <sz val="12"/>
      <color theme="1"/>
      <name val="Bahnschrift"/>
      <family val="2"/>
    </font>
    <font>
      <b/>
      <sz val="7"/>
      <color theme="1"/>
      <name val="Comic Sans MS"/>
      <family val="4"/>
    </font>
    <font>
      <b/>
      <sz val="8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dotted">
        <color theme="1"/>
      </top>
      <bottom style="thin">
        <color theme="1"/>
      </bottom>
      <diagonal/>
    </border>
    <border>
      <left style="thin">
        <color theme="1"/>
      </left>
      <right/>
      <top style="dotted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dotted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hair">
        <color theme="0" tint="-0.499984740745262"/>
      </bottom>
      <diagonal/>
    </border>
    <border>
      <left style="medium">
        <color theme="1"/>
      </left>
      <right/>
      <top style="hair">
        <color theme="0" tint="-0.499984740745262"/>
      </top>
      <bottom style="thin">
        <color theme="1"/>
      </bottom>
      <diagonal/>
    </border>
    <border>
      <left/>
      <right style="thin">
        <color theme="1"/>
      </right>
      <top style="hair">
        <color theme="0" tint="-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dotted">
        <color theme="1"/>
      </bottom>
      <diagonal/>
    </border>
    <border>
      <left/>
      <right style="thin">
        <color theme="1"/>
      </right>
      <top style="dotted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hair">
        <color theme="0" tint="-0.499984740745262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hair">
        <color theme="0" tint="-0.49998474074526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0" tint="-0.499984740745262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dotted">
        <color theme="1"/>
      </bottom>
      <diagonal/>
    </border>
  </borders>
  <cellStyleXfs count="1">
    <xf numFmtId="0" fontId="0" fillId="0" borderId="0"/>
  </cellStyleXfs>
  <cellXfs count="84">
    <xf numFmtId="0" fontId="0" fillId="0" borderId="0" xfId="0"/>
    <xf numFmtId="49" fontId="1" fillId="0" borderId="0" xfId="0" applyNumberFormat="1" applyFont="1" applyFill="1" applyBorder="1" applyAlignment="1">
      <alignment horizontal="right" vertical="center"/>
    </xf>
    <xf numFmtId="0" fontId="3" fillId="0" borderId="0" xfId="0" applyFont="1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1" fillId="0" borderId="0" xfId="0" applyNumberFormat="1" applyFont="1" applyFill="1" applyBorder="1" applyAlignment="1">
      <alignment vertical="center"/>
    </xf>
    <xf numFmtId="1" fontId="1" fillId="2" borderId="2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" fontId="5" fillId="2" borderId="2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4" fillId="5" borderId="10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0" borderId="14" xfId="0" applyNumberFormat="1" applyFont="1" applyFill="1" applyBorder="1" applyAlignment="1">
      <alignment horizontal="center" vertical="center"/>
    </xf>
    <xf numFmtId="164" fontId="4" fillId="0" borderId="15" xfId="0" applyNumberFormat="1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5" fillId="2" borderId="18" xfId="0" applyNumberFormat="1" applyFont="1" applyFill="1" applyBorder="1" applyAlignment="1">
      <alignment horizontal="center" vertical="center"/>
    </xf>
    <xf numFmtId="164" fontId="6" fillId="0" borderId="12" xfId="0" applyNumberFormat="1" applyFont="1" applyFill="1" applyBorder="1" applyAlignment="1">
      <alignment horizontal="center" vertical="center"/>
    </xf>
    <xf numFmtId="166" fontId="4" fillId="0" borderId="22" xfId="0" applyNumberFormat="1" applyFont="1" applyFill="1" applyBorder="1" applyAlignment="1">
      <alignment horizontal="right" vertical="center"/>
    </xf>
    <xf numFmtId="166" fontId="4" fillId="4" borderId="16" xfId="0" applyNumberFormat="1" applyFont="1" applyFill="1" applyBorder="1" applyAlignment="1">
      <alignment horizontal="right" vertical="center"/>
    </xf>
    <xf numFmtId="49" fontId="2" fillId="0" borderId="0" xfId="0" applyNumberFormat="1" applyFont="1" applyFill="1" applyBorder="1" applyAlignment="1">
      <alignment horizontal="right" vertical="center"/>
    </xf>
    <xf numFmtId="4" fontId="2" fillId="0" borderId="0" xfId="0" applyNumberFormat="1" applyFont="1" applyFill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5" fillId="2" borderId="17" xfId="0" applyNumberFormat="1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horizontal="center" vertical="center"/>
    </xf>
    <xf numFmtId="166" fontId="8" fillId="0" borderId="22" xfId="0" applyNumberFormat="1" applyFont="1" applyFill="1" applyBorder="1" applyAlignment="1">
      <alignment horizontal="right" vertical="center"/>
    </xf>
    <xf numFmtId="166" fontId="8" fillId="0" borderId="23" xfId="0" applyNumberFormat="1" applyFont="1" applyFill="1" applyBorder="1" applyAlignment="1">
      <alignment horizontal="right" vertical="center"/>
    </xf>
    <xf numFmtId="166" fontId="4" fillId="5" borderId="16" xfId="0" applyNumberFormat="1" applyFont="1" applyFill="1" applyBorder="1" applyAlignment="1">
      <alignment horizontal="right" vertical="center"/>
    </xf>
    <xf numFmtId="2" fontId="6" fillId="5" borderId="10" xfId="0" applyNumberFormat="1" applyFont="1" applyFill="1" applyBorder="1" applyAlignment="1">
      <alignment horizontal="center" vertical="center"/>
    </xf>
    <xf numFmtId="2" fontId="6" fillId="5" borderId="4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right" vertical="center"/>
    </xf>
    <xf numFmtId="4" fontId="5" fillId="0" borderId="0" xfId="0" applyNumberFormat="1" applyFont="1" applyFill="1" applyBorder="1" applyAlignment="1">
      <alignment horizontal="center" vertical="center"/>
    </xf>
    <xf numFmtId="0" fontId="9" fillId="4" borderId="10" xfId="0" applyNumberFormat="1" applyFont="1" applyFill="1" applyBorder="1" applyAlignment="1">
      <alignment vertical="center"/>
    </xf>
    <xf numFmtId="0" fontId="9" fillId="4" borderId="4" xfId="0" applyNumberFormat="1" applyFont="1" applyFill="1" applyBorder="1" applyAlignment="1">
      <alignment vertical="center"/>
    </xf>
    <xf numFmtId="0" fontId="9" fillId="5" borderId="10" xfId="0" applyNumberFormat="1" applyFont="1" applyFill="1" applyBorder="1" applyAlignment="1">
      <alignment vertical="center"/>
    </xf>
    <xf numFmtId="0" fontId="9" fillId="5" borderId="4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49" fontId="11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4" fontId="2" fillId="2" borderId="6" xfId="0" applyNumberFormat="1" applyFont="1" applyFill="1" applyBorder="1" applyAlignment="1">
      <alignment horizontal="center" vertical="center" wrapText="1"/>
    </xf>
    <xf numFmtId="4" fontId="7" fillId="2" borderId="3" xfId="0" applyNumberFormat="1" applyFont="1" applyFill="1" applyBorder="1" applyAlignment="1">
      <alignment horizontal="center" vertical="center" wrapText="1"/>
    </xf>
    <xf numFmtId="4" fontId="7" fillId="2" borderId="6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/>
    </xf>
    <xf numFmtId="0" fontId="9" fillId="5" borderId="10" xfId="0" applyNumberFormat="1" applyFont="1" applyFill="1" applyBorder="1" applyAlignment="1">
      <alignment horizontal="center" vertical="center"/>
    </xf>
    <xf numFmtId="0" fontId="9" fillId="5" borderId="4" xfId="0" applyNumberFormat="1" applyFont="1" applyFill="1" applyBorder="1" applyAlignment="1">
      <alignment horizontal="center" vertical="center"/>
    </xf>
    <xf numFmtId="1" fontId="1" fillId="9" borderId="2" xfId="0" applyNumberFormat="1" applyFont="1" applyFill="1" applyBorder="1" applyAlignment="1">
      <alignment horizontal="center" vertical="center"/>
    </xf>
    <xf numFmtId="1" fontId="1" fillId="9" borderId="18" xfId="0" applyNumberFormat="1" applyFont="1" applyFill="1" applyBorder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0" fontId="9" fillId="4" borderId="10" xfId="0" applyNumberFormat="1" applyFont="1" applyFill="1" applyBorder="1" applyAlignment="1">
      <alignment horizontal="left" vertical="center"/>
    </xf>
    <xf numFmtId="0" fontId="9" fillId="4" borderId="4" xfId="0" applyNumberFormat="1" applyFont="1" applyFill="1" applyBorder="1" applyAlignment="1">
      <alignment horizontal="left" vertical="center"/>
    </xf>
    <xf numFmtId="0" fontId="6" fillId="2" borderId="13" xfId="0" applyNumberFormat="1" applyFont="1" applyFill="1" applyBorder="1" applyAlignment="1">
      <alignment horizontal="center" vertical="center"/>
    </xf>
    <xf numFmtId="0" fontId="6" fillId="2" borderId="24" xfId="0" applyNumberFormat="1" applyFont="1" applyFill="1" applyBorder="1" applyAlignment="1">
      <alignment horizontal="center" vertical="center"/>
    </xf>
    <xf numFmtId="0" fontId="4" fillId="2" borderId="24" xfId="0" applyNumberFormat="1" applyFont="1" applyFill="1" applyBorder="1" applyAlignment="1">
      <alignment horizontal="center" vertical="center"/>
    </xf>
    <xf numFmtId="164" fontId="4" fillId="2" borderId="24" xfId="0" applyNumberFormat="1" applyFont="1" applyFill="1" applyBorder="1" applyAlignment="1">
      <alignment horizontal="center" vertical="center"/>
    </xf>
    <xf numFmtId="0" fontId="9" fillId="4" borderId="25" xfId="0" applyNumberFormat="1" applyFont="1" applyFill="1" applyBorder="1" applyAlignment="1">
      <alignment horizontal="center" vertical="center"/>
    </xf>
    <xf numFmtId="0" fontId="9" fillId="4" borderId="19" xfId="0" applyNumberFormat="1" applyFont="1" applyFill="1" applyBorder="1" applyAlignment="1">
      <alignment horizontal="center" vertical="center"/>
    </xf>
    <xf numFmtId="0" fontId="9" fillId="4" borderId="5" xfId="0" applyNumberFormat="1" applyFont="1" applyFill="1" applyBorder="1" applyAlignment="1">
      <alignment horizontal="center" vertical="center"/>
    </xf>
    <xf numFmtId="0" fontId="9" fillId="4" borderId="20" xfId="0" applyNumberFormat="1" applyFont="1" applyFill="1" applyBorder="1" applyAlignment="1">
      <alignment horizontal="center" vertical="center"/>
    </xf>
    <xf numFmtId="1" fontId="1" fillId="9" borderId="11" xfId="0" applyNumberFormat="1" applyFont="1" applyFill="1" applyBorder="1" applyAlignment="1">
      <alignment horizontal="center" vertical="center"/>
    </xf>
    <xf numFmtId="1" fontId="1" fillId="9" borderId="18" xfId="0" applyNumberFormat="1" applyFont="1" applyFill="1" applyBorder="1" applyAlignment="1">
      <alignment horizontal="center" vertical="center"/>
    </xf>
    <xf numFmtId="1" fontId="5" fillId="10" borderId="11" xfId="0" applyNumberFormat="1" applyFont="1" applyFill="1" applyBorder="1" applyAlignment="1">
      <alignment horizontal="center" vertical="center"/>
    </xf>
    <xf numFmtId="1" fontId="5" fillId="10" borderId="18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Border="1" applyAlignment="1">
      <alignment horizontal="center" vertical="center" wrapText="1"/>
    </xf>
    <xf numFmtId="49" fontId="10" fillId="6" borderId="9" xfId="0" applyNumberFormat="1" applyFont="1" applyFill="1" applyBorder="1" applyAlignment="1">
      <alignment horizontal="center" vertical="center" wrapText="1"/>
    </xf>
    <xf numFmtId="166" fontId="4" fillId="4" borderId="22" xfId="0" applyNumberFormat="1" applyFont="1" applyFill="1" applyBorder="1" applyAlignment="1">
      <alignment horizontal="right" vertical="center"/>
    </xf>
    <xf numFmtId="166" fontId="4" fillId="5" borderId="22" xfId="0" applyNumberFormat="1" applyFont="1" applyFill="1" applyBorder="1" applyAlignment="1">
      <alignment horizontal="right" vertical="center"/>
    </xf>
    <xf numFmtId="166" fontId="4" fillId="6" borderId="21" xfId="0" applyNumberFormat="1" applyFont="1" applyFill="1" applyBorder="1" applyAlignment="1">
      <alignment horizontal="right" vertical="center"/>
    </xf>
    <xf numFmtId="166" fontId="4" fillId="7" borderId="16" xfId="0" applyNumberFormat="1" applyFont="1" applyFill="1" applyBorder="1" applyAlignment="1">
      <alignment horizontal="right" vertical="center"/>
    </xf>
    <xf numFmtId="4" fontId="12" fillId="3" borderId="13" xfId="0" applyNumberFormat="1" applyFont="1" applyFill="1" applyBorder="1" applyAlignment="1">
      <alignment horizontal="center" vertical="center"/>
    </xf>
    <xf numFmtId="4" fontId="4" fillId="3" borderId="13" xfId="0" applyNumberFormat="1" applyFont="1" applyFill="1" applyBorder="1" applyAlignment="1">
      <alignment horizontal="center" vertical="center"/>
    </xf>
    <xf numFmtId="4" fontId="4" fillId="8" borderId="13" xfId="0" applyNumberFormat="1" applyFont="1" applyFill="1" applyBorder="1" applyAlignment="1">
      <alignment horizontal="right" vertical="center"/>
    </xf>
    <xf numFmtId="4" fontId="4" fillId="7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8575">
          <a:solidFill>
            <a:schemeClr val="accent1">
              <a:lumMod val="75000"/>
            </a:schemeClr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30"/>
  <sheetViews>
    <sheetView tabSelected="1" showWhiteSpace="0" view="pageLayout" topLeftCell="AM1" zoomScale="115" zoomScaleNormal="115" zoomScalePageLayoutView="115" workbookViewId="0">
      <selection activeCell="CB35" sqref="CB35"/>
    </sheetView>
  </sheetViews>
  <sheetFormatPr baseColWidth="10" defaultColWidth="7" defaultRowHeight="17.25" customHeight="1" x14ac:dyDescent="0.3"/>
  <cols>
    <col min="1" max="1" width="0.28515625" style="6" customWidth="1"/>
    <col min="2" max="2" width="2.42578125" style="6" hidden="1" customWidth="1"/>
    <col min="3" max="17" width="3.140625" style="5" hidden="1" customWidth="1"/>
    <col min="18" max="19" width="4.5703125" style="7" hidden="1" customWidth="1"/>
    <col min="20" max="32" width="4.5703125" style="5" hidden="1" customWidth="1"/>
    <col min="33" max="38" width="2.42578125" style="6" hidden="1" customWidth="1"/>
    <col min="39" max="39" width="8" style="39" customWidth="1"/>
    <col min="40" max="40" width="10.7109375" style="39" customWidth="1"/>
    <col min="41" max="41" width="6.28515625" style="39" customWidth="1"/>
    <col min="42" max="42" width="6.140625" style="28" customWidth="1"/>
    <col min="43" max="43" width="6.42578125" style="5" customWidth="1"/>
    <col min="44" max="46" width="6.28515625" style="5" customWidth="1"/>
    <col min="47" max="47" width="6.42578125" style="5" customWidth="1"/>
    <col min="48" max="49" width="6.28515625" style="5" customWidth="1"/>
    <col min="50" max="50" width="6.7109375" style="5" customWidth="1"/>
    <col min="51" max="51" width="6.28515625" style="5" customWidth="1"/>
    <col min="52" max="52" width="6.7109375" style="5" customWidth="1"/>
    <col min="53" max="58" width="6.28515625" style="5" customWidth="1"/>
    <col min="59" max="62" width="0.28515625" style="2" customWidth="1"/>
    <col min="63" max="63" width="0.5703125" style="2" customWidth="1"/>
    <col min="64" max="64" width="6.28515625" style="7" customWidth="1"/>
    <col min="65" max="78" width="6.28515625" style="5" customWidth="1"/>
    <col min="79" max="79" width="2.5703125" style="5" customWidth="1"/>
    <col min="80" max="80" width="10.42578125" style="5" customWidth="1"/>
    <col min="81" max="81" width="9.140625" style="5" customWidth="1"/>
    <col min="82" max="82" width="9.42578125" style="5" customWidth="1"/>
    <col min="83" max="83" width="8.140625" style="5" customWidth="1"/>
    <col min="84" max="86" width="0.28515625" style="6" customWidth="1"/>
    <col min="87" max="95" width="0.28515625" style="4" customWidth="1"/>
    <col min="96" max="96" width="7" style="4"/>
    <col min="97" max="97" width="11.140625" style="4" customWidth="1"/>
    <col min="98" max="163" width="7" style="4"/>
    <col min="164" max="16384" width="7" style="6"/>
  </cols>
  <sheetData>
    <row r="1" spans="3:187" s="3" customFormat="1" ht="3" customHeight="1" x14ac:dyDescent="0.3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M1" s="38"/>
      <c r="AN1" s="38"/>
      <c r="AO1" s="54"/>
      <c r="AP1" s="27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2"/>
      <c r="BH1" s="2"/>
      <c r="BI1" s="2"/>
      <c r="BJ1" s="2"/>
      <c r="BK1" s="2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</row>
    <row r="2" spans="3:187" ht="1.1499999999999999" customHeight="1" x14ac:dyDescent="0.3"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2"/>
      <c r="EF2" s="2"/>
      <c r="EG2" s="2"/>
      <c r="EH2" s="2"/>
      <c r="EI2" s="2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V2" s="4"/>
      <c r="FW2" s="4"/>
      <c r="FX2" s="4"/>
      <c r="FY2" s="4"/>
      <c r="FZ2" s="4"/>
      <c r="GA2" s="4"/>
      <c r="GB2" s="4"/>
      <c r="GC2" s="4"/>
      <c r="GD2" s="4"/>
      <c r="GE2" s="44"/>
    </row>
    <row r="3" spans="3:187" ht="1.1499999999999999" customHeight="1" x14ac:dyDescent="0.3"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2"/>
      <c r="EF3" s="2"/>
      <c r="EG3" s="2"/>
      <c r="EH3" s="2"/>
      <c r="EI3" s="2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V3" s="4"/>
      <c r="FW3" s="4"/>
      <c r="FX3" s="4"/>
      <c r="FY3" s="4"/>
      <c r="FZ3" s="4"/>
      <c r="GA3" s="4"/>
      <c r="GB3" s="4"/>
      <c r="GC3" s="4"/>
      <c r="GD3" s="4"/>
      <c r="GE3" s="44"/>
    </row>
    <row r="4" spans="3:187" ht="1.1499999999999999" customHeight="1" x14ac:dyDescent="0.3"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2"/>
      <c r="EF4" s="2"/>
      <c r="EG4" s="2"/>
      <c r="EH4" s="2"/>
      <c r="EI4" s="2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V4" s="4"/>
      <c r="FW4" s="4"/>
      <c r="FX4" s="4"/>
      <c r="FY4" s="4"/>
      <c r="FZ4" s="4"/>
      <c r="GA4" s="4"/>
      <c r="GB4" s="4"/>
      <c r="GC4" s="4"/>
      <c r="GD4" s="4"/>
      <c r="GE4" s="44"/>
    </row>
    <row r="5" spans="3:187" ht="1.1499999999999999" customHeight="1" x14ac:dyDescent="0.3"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2"/>
      <c r="EF5" s="2"/>
      <c r="EG5" s="2"/>
      <c r="EH5" s="2"/>
      <c r="EI5" s="2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V5" s="4"/>
      <c r="FW5" s="4"/>
      <c r="FX5" s="4"/>
      <c r="FY5" s="4"/>
      <c r="FZ5" s="4"/>
      <c r="GA5" s="4"/>
      <c r="GB5" s="4"/>
      <c r="GC5" s="4"/>
      <c r="GD5" s="4"/>
      <c r="GE5" s="44"/>
    </row>
    <row r="6" spans="3:187" ht="1.1499999999999999" customHeight="1" x14ac:dyDescent="0.3"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2"/>
      <c r="EF6" s="2"/>
      <c r="EG6" s="2"/>
      <c r="EH6" s="2"/>
      <c r="EI6" s="2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V6" s="4"/>
      <c r="FW6" s="4"/>
      <c r="FX6" s="4"/>
      <c r="FY6" s="4"/>
      <c r="FZ6" s="4"/>
      <c r="GA6" s="4"/>
      <c r="GB6" s="4"/>
      <c r="GC6" s="4"/>
      <c r="GD6" s="4"/>
      <c r="GE6" s="44"/>
    </row>
    <row r="7" spans="3:187" ht="1.1499999999999999" customHeight="1" x14ac:dyDescent="0.3"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2"/>
      <c r="EF7" s="2"/>
      <c r="EG7" s="2"/>
      <c r="EH7" s="2"/>
      <c r="EI7" s="2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V7" s="4"/>
      <c r="FW7" s="4"/>
      <c r="FX7" s="4"/>
      <c r="FY7" s="4"/>
      <c r="FZ7" s="4"/>
      <c r="GA7" s="4"/>
      <c r="GB7" s="4"/>
      <c r="GC7" s="4"/>
      <c r="GD7" s="4"/>
      <c r="GE7" s="44"/>
    </row>
    <row r="8" spans="3:187" ht="1.1499999999999999" customHeight="1" x14ac:dyDescent="0.3"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2"/>
      <c r="EF8" s="2"/>
      <c r="EG8" s="2"/>
      <c r="EH8" s="2"/>
      <c r="EI8" s="2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V8" s="4"/>
      <c r="FW8" s="4"/>
      <c r="FX8" s="4"/>
      <c r="FY8" s="4"/>
      <c r="FZ8" s="4"/>
      <c r="GA8" s="4"/>
      <c r="GB8" s="4"/>
      <c r="GC8" s="4"/>
      <c r="GD8" s="4"/>
      <c r="GE8" s="44"/>
    </row>
    <row r="9" spans="3:187" ht="1.1499999999999999" customHeight="1" x14ac:dyDescent="0.3"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2"/>
      <c r="EF9" s="2"/>
      <c r="EG9" s="2"/>
      <c r="EH9" s="2"/>
      <c r="EI9" s="2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V9" s="4"/>
      <c r="FW9" s="4"/>
      <c r="FX9" s="4"/>
      <c r="FY9" s="4"/>
      <c r="FZ9" s="4"/>
      <c r="GA9" s="4"/>
      <c r="GB9" s="4"/>
      <c r="GC9" s="4"/>
      <c r="GD9" s="4"/>
      <c r="GE9" s="44"/>
    </row>
    <row r="10" spans="3:187" ht="1.1499999999999999" customHeight="1" x14ac:dyDescent="0.3"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2"/>
      <c r="EF10" s="2"/>
      <c r="EG10" s="2"/>
      <c r="EH10" s="2"/>
      <c r="EI10" s="2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V10" s="4"/>
      <c r="FW10" s="4"/>
      <c r="FX10" s="4"/>
      <c r="FY10" s="4"/>
      <c r="FZ10" s="4"/>
      <c r="GA10" s="4"/>
      <c r="GB10" s="4"/>
      <c r="GC10" s="4"/>
      <c r="GD10" s="4"/>
      <c r="GE10" s="44"/>
    </row>
    <row r="11" spans="3:187" ht="1.1499999999999999" customHeight="1" x14ac:dyDescent="0.3"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2"/>
      <c r="EF11" s="2"/>
      <c r="EG11" s="2"/>
      <c r="EH11" s="2"/>
      <c r="EI11" s="2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V11" s="4"/>
      <c r="FW11" s="4"/>
      <c r="FX11" s="4"/>
      <c r="FY11" s="4"/>
      <c r="FZ11" s="4"/>
      <c r="GA11" s="4"/>
      <c r="GB11" s="4"/>
      <c r="GC11" s="4"/>
      <c r="GD11" s="4"/>
      <c r="GE11" s="44"/>
    </row>
    <row r="12" spans="3:187" ht="1.1499999999999999" customHeight="1" x14ac:dyDescent="0.3"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2"/>
      <c r="EF12" s="2"/>
      <c r="EG12" s="2"/>
      <c r="EH12" s="2"/>
      <c r="EI12" s="2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V12" s="4"/>
      <c r="FW12" s="4"/>
      <c r="FX12" s="4"/>
      <c r="FY12" s="4"/>
      <c r="FZ12" s="4"/>
      <c r="GA12" s="4"/>
      <c r="GB12" s="4"/>
      <c r="GC12" s="4"/>
      <c r="GD12" s="4"/>
      <c r="GE12" s="44"/>
    </row>
    <row r="13" spans="3:187" ht="1.1499999999999999" customHeight="1" x14ac:dyDescent="0.3"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2"/>
      <c r="EF13" s="2"/>
      <c r="EG13" s="2"/>
      <c r="EH13" s="2"/>
      <c r="EI13" s="2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V13" s="4"/>
      <c r="FW13" s="4"/>
      <c r="FX13" s="4"/>
      <c r="FY13" s="4"/>
      <c r="FZ13" s="4"/>
      <c r="GA13" s="4"/>
      <c r="GB13" s="4"/>
      <c r="GC13" s="4"/>
      <c r="GD13" s="4"/>
      <c r="GE13" s="44"/>
    </row>
    <row r="14" spans="3:187" ht="1.1499999999999999" customHeight="1" x14ac:dyDescent="0.3"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2"/>
      <c r="EF14" s="2"/>
      <c r="EG14" s="2"/>
      <c r="EH14" s="2"/>
      <c r="EI14" s="2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V14" s="4"/>
      <c r="FW14" s="4"/>
      <c r="FX14" s="4"/>
      <c r="FY14" s="4"/>
      <c r="FZ14" s="4"/>
      <c r="GA14" s="4"/>
      <c r="GB14" s="4"/>
      <c r="GC14" s="4"/>
      <c r="GD14" s="4"/>
      <c r="GE14" s="44"/>
    </row>
    <row r="15" spans="3:187" ht="1.1499999999999999" customHeight="1" x14ac:dyDescent="0.3"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2"/>
      <c r="EF15" s="2"/>
      <c r="EG15" s="2"/>
      <c r="EH15" s="2"/>
      <c r="EI15" s="2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V15" s="4"/>
      <c r="FW15" s="4"/>
      <c r="FX15" s="4"/>
      <c r="FY15" s="4"/>
      <c r="FZ15" s="4"/>
      <c r="GA15" s="4"/>
      <c r="GB15" s="4"/>
      <c r="GC15" s="4"/>
      <c r="GD15" s="4"/>
      <c r="GE15" s="44"/>
    </row>
    <row r="16" spans="3:187" ht="1.1499999999999999" customHeight="1" x14ac:dyDescent="0.3"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2"/>
      <c r="EF16" s="2"/>
      <c r="EG16" s="2"/>
      <c r="EH16" s="2"/>
      <c r="EI16" s="2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V16" s="4"/>
      <c r="FW16" s="4"/>
      <c r="FX16" s="4"/>
      <c r="FY16" s="4"/>
      <c r="FZ16" s="4"/>
      <c r="GA16" s="4"/>
      <c r="GB16" s="4"/>
      <c r="GC16" s="4"/>
      <c r="GD16" s="4"/>
      <c r="GE16" s="44"/>
    </row>
    <row r="17" spans="1:187" ht="1.1499999999999999" customHeight="1" x14ac:dyDescent="0.3"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2"/>
      <c r="EF17" s="2"/>
      <c r="EG17" s="2"/>
      <c r="EH17" s="2"/>
      <c r="EI17" s="2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V17" s="4"/>
      <c r="FW17" s="4"/>
      <c r="FX17" s="4"/>
      <c r="FY17" s="4"/>
      <c r="FZ17" s="4"/>
      <c r="GA17" s="4"/>
      <c r="GB17" s="4"/>
      <c r="GC17" s="4"/>
      <c r="GD17" s="4"/>
      <c r="GE17" s="44"/>
    </row>
    <row r="18" spans="1:187" ht="1.1499999999999999" customHeight="1" x14ac:dyDescent="0.3"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2"/>
      <c r="EF18" s="2"/>
      <c r="EG18" s="2"/>
      <c r="EH18" s="2"/>
      <c r="EI18" s="2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V18" s="4"/>
      <c r="FW18" s="4"/>
      <c r="FX18" s="4"/>
      <c r="FY18" s="4"/>
      <c r="FZ18" s="4"/>
      <c r="GA18" s="4"/>
      <c r="GB18" s="4"/>
      <c r="GC18" s="4"/>
      <c r="GD18" s="4"/>
      <c r="GE18" s="44"/>
    </row>
    <row r="19" spans="1:187" ht="1.1499999999999999" customHeight="1" x14ac:dyDescent="0.3"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2"/>
      <c r="EF19" s="2"/>
      <c r="EG19" s="2"/>
      <c r="EH19" s="2"/>
      <c r="EI19" s="2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V19" s="4"/>
      <c r="FW19" s="4"/>
      <c r="FX19" s="4"/>
      <c r="FY19" s="4"/>
      <c r="FZ19" s="4"/>
      <c r="GA19" s="4"/>
      <c r="GB19" s="4"/>
      <c r="GC19" s="4"/>
      <c r="GD19" s="4"/>
      <c r="GE19" s="44"/>
    </row>
    <row r="20" spans="1:187" ht="1.5" customHeight="1" x14ac:dyDescent="0.3">
      <c r="R20" s="5"/>
      <c r="S20" s="5"/>
      <c r="BL20" s="5"/>
    </row>
    <row r="21" spans="1:187" ht="1.5" customHeight="1" x14ac:dyDescent="0.3">
      <c r="R21" s="5"/>
      <c r="S21" s="5"/>
      <c r="BL21" s="5"/>
    </row>
    <row r="22" spans="1:187" s="3" customFormat="1" ht="28.5" customHeight="1" x14ac:dyDescent="0.3">
      <c r="C22" s="8"/>
      <c r="D22" s="8"/>
      <c r="E22" s="8"/>
      <c r="F22" s="8"/>
      <c r="G22" s="8"/>
      <c r="H22" s="29"/>
      <c r="I22" s="32"/>
      <c r="J22" s="22"/>
      <c r="K22" s="22"/>
      <c r="L22" s="22"/>
      <c r="M22" s="22"/>
      <c r="N22" s="22"/>
      <c r="O22" s="22"/>
      <c r="P22" s="22"/>
      <c r="Q22" s="22"/>
      <c r="R22" s="8"/>
      <c r="S22" s="8"/>
      <c r="T22" s="8"/>
      <c r="U22" s="8"/>
      <c r="V22" s="29"/>
      <c r="W22" s="29"/>
      <c r="X22" s="8"/>
      <c r="Y22" s="8"/>
      <c r="Z22" s="8"/>
      <c r="AA22" s="8"/>
      <c r="AB22" s="8"/>
      <c r="AC22" s="29"/>
      <c r="AD22" s="29"/>
      <c r="AE22" s="8"/>
      <c r="AF22" s="8"/>
      <c r="AM22" s="74" t="s">
        <v>8</v>
      </c>
      <c r="AN22" s="75"/>
      <c r="AO22" s="70" t="s">
        <v>12</v>
      </c>
      <c r="AP22" s="71"/>
      <c r="AQ22" s="57">
        <v>1</v>
      </c>
      <c r="AR22" s="57">
        <v>2</v>
      </c>
      <c r="AS22" s="57">
        <v>3</v>
      </c>
      <c r="AT22" s="57">
        <v>4</v>
      </c>
      <c r="AU22" s="57">
        <v>5</v>
      </c>
      <c r="AV22" s="57">
        <v>6</v>
      </c>
      <c r="AW22" s="57">
        <v>7</v>
      </c>
      <c r="AX22" s="58">
        <v>8</v>
      </c>
      <c r="AY22" s="57">
        <v>9</v>
      </c>
      <c r="AZ22" s="57">
        <v>10</v>
      </c>
      <c r="BA22" s="57">
        <v>11</v>
      </c>
      <c r="BB22" s="57">
        <v>12</v>
      </c>
      <c r="BC22" s="57">
        <v>13</v>
      </c>
      <c r="BD22" s="57">
        <v>14</v>
      </c>
      <c r="BE22" s="57">
        <v>15</v>
      </c>
      <c r="BF22" s="57">
        <v>16</v>
      </c>
      <c r="BG22" s="2"/>
      <c r="BH22" s="2"/>
      <c r="BI22" s="2"/>
      <c r="BJ22" s="2"/>
      <c r="BK22" s="2"/>
      <c r="BL22" s="57">
        <v>17</v>
      </c>
      <c r="BM22" s="57">
        <v>18</v>
      </c>
      <c r="BN22" s="57">
        <v>19</v>
      </c>
      <c r="BO22" s="57">
        <v>20</v>
      </c>
      <c r="BP22" s="57">
        <v>21</v>
      </c>
      <c r="BQ22" s="57">
        <v>22</v>
      </c>
      <c r="BR22" s="57">
        <v>23</v>
      </c>
      <c r="BS22" s="57">
        <v>24</v>
      </c>
      <c r="BT22" s="57">
        <v>25</v>
      </c>
      <c r="BU22" s="57">
        <v>26</v>
      </c>
      <c r="BV22" s="57">
        <v>27</v>
      </c>
      <c r="BW22" s="57">
        <v>28</v>
      </c>
      <c r="BX22" s="57">
        <v>29</v>
      </c>
      <c r="BY22" s="57">
        <v>30</v>
      </c>
      <c r="BZ22" s="57">
        <v>31</v>
      </c>
      <c r="CA22" s="46" t="s">
        <v>19</v>
      </c>
      <c r="CB22" s="47"/>
      <c r="CC22" s="50" t="s">
        <v>18</v>
      </c>
      <c r="CD22" s="50" t="s">
        <v>20</v>
      </c>
      <c r="CE22" s="52" t="s">
        <v>7</v>
      </c>
      <c r="CI22" s="4"/>
      <c r="CJ22" s="4"/>
      <c r="CK22" s="4"/>
      <c r="CL22" s="4"/>
      <c r="CM22" s="4"/>
      <c r="CN22" s="4"/>
      <c r="CO22" s="4"/>
      <c r="CP22" s="4"/>
      <c r="CQ22" s="4"/>
      <c r="CR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</row>
    <row r="23" spans="1:187" s="3" customFormat="1" ht="9" customHeight="1" x14ac:dyDescent="0.3">
      <c r="C23" s="13"/>
      <c r="D23" s="13"/>
      <c r="E23" s="13"/>
      <c r="F23" s="13"/>
      <c r="G23" s="13"/>
      <c r="H23" s="30"/>
      <c r="I23" s="31"/>
      <c r="J23" s="23"/>
      <c r="K23" s="23"/>
      <c r="L23" s="23"/>
      <c r="M23" s="23"/>
      <c r="N23" s="23"/>
      <c r="O23" s="23"/>
      <c r="P23" s="23"/>
      <c r="Q23" s="23"/>
      <c r="R23" s="13"/>
      <c r="S23" s="13"/>
      <c r="T23" s="13"/>
      <c r="U23" s="13"/>
      <c r="V23" s="30"/>
      <c r="W23" s="30"/>
      <c r="X23" s="13"/>
      <c r="Y23" s="13"/>
      <c r="Z23" s="13"/>
      <c r="AA23" s="13"/>
      <c r="AB23" s="13"/>
      <c r="AC23" s="30"/>
      <c r="AD23" s="30"/>
      <c r="AE23" s="13"/>
      <c r="AF23" s="13"/>
      <c r="AM23" s="45"/>
      <c r="AN23" s="45"/>
      <c r="AO23" s="72" t="s">
        <v>13</v>
      </c>
      <c r="AP23" s="73"/>
      <c r="AQ23" s="59" t="s">
        <v>4</v>
      </c>
      <c r="AR23" s="59" t="s">
        <v>5</v>
      </c>
      <c r="AS23" s="59" t="s">
        <v>0</v>
      </c>
      <c r="AT23" s="59" t="s">
        <v>6</v>
      </c>
      <c r="AU23" s="59" t="s">
        <v>1</v>
      </c>
      <c r="AV23" s="59" t="s">
        <v>2</v>
      </c>
      <c r="AW23" s="59" t="s">
        <v>3</v>
      </c>
      <c r="AX23" s="59" t="s">
        <v>4</v>
      </c>
      <c r="AY23" s="59" t="s">
        <v>5</v>
      </c>
      <c r="AZ23" s="59" t="s">
        <v>0</v>
      </c>
      <c r="BA23" s="59" t="s">
        <v>6</v>
      </c>
      <c r="BB23" s="59" t="s">
        <v>1</v>
      </c>
      <c r="BC23" s="59" t="s">
        <v>2</v>
      </c>
      <c r="BD23" s="59" t="s">
        <v>3</v>
      </c>
      <c r="BE23" s="59" t="s">
        <v>4</v>
      </c>
      <c r="BF23" s="59" t="s">
        <v>5</v>
      </c>
      <c r="BG23" s="2"/>
      <c r="BH23" s="2"/>
      <c r="BI23" s="2"/>
      <c r="BJ23" s="2"/>
      <c r="BK23" s="2"/>
      <c r="BL23" s="59" t="s">
        <v>0</v>
      </c>
      <c r="BM23" s="59" t="s">
        <v>6</v>
      </c>
      <c r="BN23" s="59" t="s">
        <v>1</v>
      </c>
      <c r="BO23" s="59" t="s">
        <v>2</v>
      </c>
      <c r="BP23" s="59" t="s">
        <v>3</v>
      </c>
      <c r="BQ23" s="59" t="s">
        <v>4</v>
      </c>
      <c r="BR23" s="59" t="s">
        <v>5</v>
      </c>
      <c r="BS23" s="59" t="s">
        <v>0</v>
      </c>
      <c r="BT23" s="59" t="s">
        <v>6</v>
      </c>
      <c r="BU23" s="59" t="s">
        <v>1</v>
      </c>
      <c r="BV23" s="59" t="s">
        <v>2</v>
      </c>
      <c r="BW23" s="59" t="s">
        <v>3</v>
      </c>
      <c r="BX23" s="59" t="s">
        <v>4</v>
      </c>
      <c r="BY23" s="59" t="s">
        <v>5</v>
      </c>
      <c r="BZ23" s="59" t="s">
        <v>0</v>
      </c>
      <c r="CA23" s="48"/>
      <c r="CB23" s="49"/>
      <c r="CC23" s="51"/>
      <c r="CD23" s="51"/>
      <c r="CE23" s="53"/>
      <c r="CI23" s="4"/>
      <c r="CJ23" s="4"/>
      <c r="CK23" s="4"/>
      <c r="CL23" s="4"/>
      <c r="CM23" s="4"/>
      <c r="CN23" s="4"/>
      <c r="CO23" s="4"/>
      <c r="CP23" s="4"/>
      <c r="CQ23" s="4"/>
      <c r="CR23" s="4"/>
      <c r="CT23" s="4"/>
      <c r="CU23" s="4"/>
      <c r="CV23" s="4"/>
      <c r="CW23"/>
      <c r="CX23"/>
      <c r="CY23"/>
      <c r="CZ23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</row>
    <row r="24" spans="1:187" s="9" customFormat="1" ht="9" customHeight="1" x14ac:dyDescent="0.25"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M24" s="40" t="s">
        <v>15</v>
      </c>
      <c r="AN24" s="60" t="s">
        <v>9</v>
      </c>
      <c r="AO24" s="66" t="s">
        <v>17</v>
      </c>
      <c r="AP24" s="67"/>
      <c r="AQ24" s="18"/>
      <c r="AR24" s="18">
        <v>2200</v>
      </c>
      <c r="AS24" s="18"/>
      <c r="AT24" s="18"/>
      <c r="AU24" s="18"/>
      <c r="AV24" s="18"/>
      <c r="AW24" s="18"/>
      <c r="AX24" s="18"/>
      <c r="AY24" s="18">
        <v>2200</v>
      </c>
      <c r="AZ24" s="18"/>
      <c r="BA24" s="18"/>
      <c r="BB24" s="18"/>
      <c r="BC24" s="18"/>
      <c r="BD24" s="18"/>
      <c r="BE24" s="18"/>
      <c r="BF24" s="18">
        <v>2200</v>
      </c>
      <c r="BG24" s="14"/>
      <c r="BH24" s="14"/>
      <c r="BI24" s="14"/>
      <c r="BJ24" s="14"/>
      <c r="BK24" s="14"/>
      <c r="BL24" s="18"/>
      <c r="BM24" s="18"/>
      <c r="BN24" s="18"/>
      <c r="BO24" s="18"/>
      <c r="BP24" s="18"/>
      <c r="BQ24" s="18"/>
      <c r="BR24" s="18">
        <v>2200</v>
      </c>
      <c r="BS24" s="18"/>
      <c r="BT24" s="18"/>
      <c r="BU24" s="18"/>
      <c r="BV24" s="18"/>
      <c r="BW24" s="18"/>
      <c r="BX24" s="18"/>
      <c r="BY24" s="18">
        <v>2200</v>
      </c>
      <c r="BZ24" s="18"/>
      <c r="CA24" s="20" t="s">
        <v>21</v>
      </c>
      <c r="CB24" s="76">
        <f>IF(SUM(AQ24:BZ24)&lt;=0,1*0,SUM(AQ24:BZ24))</f>
        <v>11000</v>
      </c>
      <c r="CC24" s="33"/>
      <c r="CD24" s="34"/>
      <c r="CE24" s="34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T24" s="10"/>
      <c r="CU24" s="10"/>
      <c r="CV24" s="10"/>
      <c r="CW24"/>
      <c r="CX24"/>
      <c r="CY24"/>
      <c r="CZ24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</row>
    <row r="25" spans="1:187" s="9" customFormat="1" ht="9" customHeight="1" x14ac:dyDescent="0.25">
      <c r="C25" s="19">
        <f>AP25</f>
        <v>0</v>
      </c>
      <c r="D25" s="19">
        <f t="shared" ref="D25:AF25" si="0">C25</f>
        <v>0</v>
      </c>
      <c r="E25" s="19">
        <f t="shared" si="0"/>
        <v>0</v>
      </c>
      <c r="F25" s="19">
        <f t="shared" si="0"/>
        <v>0</v>
      </c>
      <c r="G25" s="19">
        <f t="shared" si="0"/>
        <v>0</v>
      </c>
      <c r="H25" s="19">
        <f t="shared" si="0"/>
        <v>0</v>
      </c>
      <c r="I25" s="19">
        <f t="shared" si="0"/>
        <v>0</v>
      </c>
      <c r="J25" s="19">
        <f t="shared" si="0"/>
        <v>0</v>
      </c>
      <c r="K25" s="19">
        <f t="shared" si="0"/>
        <v>0</v>
      </c>
      <c r="L25" s="19">
        <f t="shared" si="0"/>
        <v>0</v>
      </c>
      <c r="M25" s="19">
        <f t="shared" si="0"/>
        <v>0</v>
      </c>
      <c r="N25" s="19">
        <f t="shared" si="0"/>
        <v>0</v>
      </c>
      <c r="O25" s="19">
        <f t="shared" si="0"/>
        <v>0</v>
      </c>
      <c r="P25" s="19">
        <f t="shared" si="0"/>
        <v>0</v>
      </c>
      <c r="Q25" s="19">
        <f t="shared" si="0"/>
        <v>0</v>
      </c>
      <c r="R25" s="19">
        <f t="shared" si="0"/>
        <v>0</v>
      </c>
      <c r="S25" s="19">
        <f t="shared" si="0"/>
        <v>0</v>
      </c>
      <c r="T25" s="19">
        <f t="shared" si="0"/>
        <v>0</v>
      </c>
      <c r="U25" s="19">
        <f t="shared" si="0"/>
        <v>0</v>
      </c>
      <c r="V25" s="19">
        <f t="shared" si="0"/>
        <v>0</v>
      </c>
      <c r="W25" s="19">
        <f t="shared" si="0"/>
        <v>0</v>
      </c>
      <c r="X25" s="19">
        <f t="shared" si="0"/>
        <v>0</v>
      </c>
      <c r="Y25" s="19">
        <f t="shared" si="0"/>
        <v>0</v>
      </c>
      <c r="Z25" s="19">
        <f t="shared" si="0"/>
        <v>0</v>
      </c>
      <c r="AA25" s="19">
        <f t="shared" si="0"/>
        <v>0</v>
      </c>
      <c r="AB25" s="19">
        <f t="shared" si="0"/>
        <v>0</v>
      </c>
      <c r="AC25" s="19">
        <f t="shared" si="0"/>
        <v>0</v>
      </c>
      <c r="AD25" s="19">
        <f t="shared" si="0"/>
        <v>0</v>
      </c>
      <c r="AE25" s="19">
        <f t="shared" si="0"/>
        <v>0</v>
      </c>
      <c r="AF25" s="19">
        <f t="shared" si="0"/>
        <v>0</v>
      </c>
      <c r="AM25" s="41" t="s">
        <v>14</v>
      </c>
      <c r="AN25" s="61">
        <v>150126</v>
      </c>
      <c r="AO25" s="68" t="s">
        <v>16</v>
      </c>
      <c r="AP25" s="69"/>
      <c r="AQ25" s="19"/>
      <c r="AR25" s="19">
        <v>0</v>
      </c>
      <c r="AS25" s="19"/>
      <c r="AT25" s="19"/>
      <c r="AU25" s="19">
        <v>2200</v>
      </c>
      <c r="AV25" s="19"/>
      <c r="AW25" s="19"/>
      <c r="AX25" s="19"/>
      <c r="AY25" s="19">
        <v>2200</v>
      </c>
      <c r="AZ25" s="19"/>
      <c r="BA25" s="19"/>
      <c r="BB25" s="19"/>
      <c r="BC25" s="19"/>
      <c r="BD25" s="19"/>
      <c r="BE25" s="19"/>
      <c r="BF25" s="19">
        <v>0</v>
      </c>
      <c r="BG25" s="14"/>
      <c r="BH25" s="14"/>
      <c r="BI25" s="14"/>
      <c r="BJ25" s="14"/>
      <c r="BK25" s="14"/>
      <c r="BL25" s="19"/>
      <c r="BM25" s="19"/>
      <c r="BN25" s="19"/>
      <c r="BO25" s="19"/>
      <c r="BP25" s="19"/>
      <c r="BQ25" s="19"/>
      <c r="BR25" s="19">
        <v>0</v>
      </c>
      <c r="BS25" s="19"/>
      <c r="BT25" s="19"/>
      <c r="BU25" s="19"/>
      <c r="BV25" s="19"/>
      <c r="BW25" s="19">
        <v>4400</v>
      </c>
      <c r="BX25" s="19"/>
      <c r="BY25" s="19">
        <v>2200</v>
      </c>
      <c r="BZ25" s="19"/>
      <c r="CA25" s="20" t="s">
        <v>21</v>
      </c>
      <c r="CB25" s="25"/>
      <c r="CC25" s="26">
        <f>IF(SUM(AQ25:BZ25)&lt;=0,1*0,SUM(AQ25:BZ25))</f>
        <v>11000</v>
      </c>
      <c r="CD25" s="79">
        <v>2200</v>
      </c>
      <c r="CE25" s="78">
        <f>CC25-CB24+CD25</f>
        <v>2200</v>
      </c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T25" s="10"/>
      <c r="CU25" s="10"/>
      <c r="CV25" s="10"/>
      <c r="CW25"/>
      <c r="CX25"/>
      <c r="CY25"/>
      <c r="CZ25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</row>
    <row r="26" spans="1:187" s="11" customFormat="1" ht="9" customHeight="1" x14ac:dyDescent="0.25"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7"/>
      <c r="Z26" s="16"/>
      <c r="AA26" s="16"/>
      <c r="AB26" s="16"/>
      <c r="AC26" s="16"/>
      <c r="AD26" s="16"/>
      <c r="AE26" s="16"/>
      <c r="AF26" s="16"/>
      <c r="AM26" s="42" t="s">
        <v>15</v>
      </c>
      <c r="AN26" s="42" t="s">
        <v>10</v>
      </c>
      <c r="AO26" s="55"/>
      <c r="AP26" s="3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4"/>
      <c r="BH26" s="14"/>
      <c r="BI26" s="14"/>
      <c r="BJ26" s="14"/>
      <c r="BK26" s="14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20"/>
      <c r="CB26" s="77">
        <f>IF(SUM(AQ26:BZ26)&lt;=0,1*0,SUM(AQ26:BZ26))</f>
        <v>0</v>
      </c>
      <c r="CC26" s="33"/>
      <c r="CD26" s="34"/>
      <c r="CE26" s="34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T26" s="12"/>
      <c r="CU26" s="12"/>
      <c r="CV26" s="12"/>
      <c r="CW26"/>
      <c r="CX26"/>
      <c r="CY26"/>
      <c r="CZ26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</row>
    <row r="27" spans="1:187" s="11" customFormat="1" ht="9" customHeight="1" thickBot="1" x14ac:dyDescent="0.3">
      <c r="C27" s="17">
        <f>AP27</f>
        <v>0</v>
      </c>
      <c r="D27" s="17">
        <f t="shared" ref="D27:AF27" si="1">C27</f>
        <v>0</v>
      </c>
      <c r="E27" s="17">
        <f t="shared" si="1"/>
        <v>0</v>
      </c>
      <c r="F27" s="17">
        <f t="shared" si="1"/>
        <v>0</v>
      </c>
      <c r="G27" s="17">
        <f t="shared" si="1"/>
        <v>0</v>
      </c>
      <c r="H27" s="17">
        <f t="shared" si="1"/>
        <v>0</v>
      </c>
      <c r="I27" s="17">
        <f t="shared" si="1"/>
        <v>0</v>
      </c>
      <c r="J27" s="17">
        <f t="shared" si="1"/>
        <v>0</v>
      </c>
      <c r="K27" s="17">
        <f t="shared" si="1"/>
        <v>0</v>
      </c>
      <c r="L27" s="17">
        <f t="shared" si="1"/>
        <v>0</v>
      </c>
      <c r="M27" s="17">
        <f t="shared" si="1"/>
        <v>0</v>
      </c>
      <c r="N27" s="17">
        <f t="shared" si="1"/>
        <v>0</v>
      </c>
      <c r="O27" s="17">
        <f t="shared" si="1"/>
        <v>0</v>
      </c>
      <c r="P27" s="17">
        <f t="shared" si="1"/>
        <v>0</v>
      </c>
      <c r="Q27" s="17">
        <f t="shared" si="1"/>
        <v>0</v>
      </c>
      <c r="R27" s="17">
        <f t="shared" si="1"/>
        <v>0</v>
      </c>
      <c r="S27" s="17">
        <f t="shared" si="1"/>
        <v>0</v>
      </c>
      <c r="T27" s="17">
        <f t="shared" si="1"/>
        <v>0</v>
      </c>
      <c r="U27" s="17">
        <f t="shared" si="1"/>
        <v>0</v>
      </c>
      <c r="V27" s="17">
        <f t="shared" si="1"/>
        <v>0</v>
      </c>
      <c r="W27" s="17">
        <f t="shared" si="1"/>
        <v>0</v>
      </c>
      <c r="X27" s="17">
        <f t="shared" si="1"/>
        <v>0</v>
      </c>
      <c r="Y27" s="17">
        <f t="shared" si="1"/>
        <v>0</v>
      </c>
      <c r="Z27" s="17">
        <f t="shared" si="1"/>
        <v>0</v>
      </c>
      <c r="AA27" s="17">
        <f t="shared" si="1"/>
        <v>0</v>
      </c>
      <c r="AB27" s="17">
        <f t="shared" si="1"/>
        <v>0</v>
      </c>
      <c r="AC27" s="17">
        <f t="shared" si="1"/>
        <v>0</v>
      </c>
      <c r="AD27" s="17">
        <f t="shared" si="1"/>
        <v>0</v>
      </c>
      <c r="AE27" s="17">
        <f t="shared" si="1"/>
        <v>0</v>
      </c>
      <c r="AF27" s="17">
        <f t="shared" si="1"/>
        <v>0</v>
      </c>
      <c r="AM27" s="43" t="s">
        <v>14</v>
      </c>
      <c r="AN27" s="43">
        <v>20126</v>
      </c>
      <c r="AO27" s="56"/>
      <c r="AP27" s="3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4"/>
      <c r="BH27" s="14"/>
      <c r="BI27" s="14"/>
      <c r="BJ27" s="14"/>
      <c r="BK27" s="14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21"/>
      <c r="CB27" s="25"/>
      <c r="CC27" s="35">
        <f>IF(SUM(AQ27:BZ27)&lt;=0,1*0,SUM(AQ27:BZ27))</f>
        <v>0</v>
      </c>
      <c r="CD27" s="79">
        <v>2200</v>
      </c>
      <c r="CE27" s="78">
        <f>CC27-CB26+CD27</f>
        <v>2200</v>
      </c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T27" s="12"/>
      <c r="CU27" s="12"/>
      <c r="CV27" s="12"/>
      <c r="CW27"/>
      <c r="CX27"/>
      <c r="CY27"/>
      <c r="CZ27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</row>
    <row r="28" spans="1:187" ht="9" customHeigh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M28" s="62"/>
      <c r="AN28" s="63" t="s">
        <v>11</v>
      </c>
      <c r="AO28" s="63"/>
      <c r="AP28" s="64"/>
      <c r="AQ28" s="65">
        <f>AQ25+AQ27</f>
        <v>0</v>
      </c>
      <c r="AR28" s="65">
        <f t="shared" ref="AR28:BF28" si="2">AR25+AR27</f>
        <v>0</v>
      </c>
      <c r="AS28" s="65">
        <f t="shared" si="2"/>
        <v>0</v>
      </c>
      <c r="AT28" s="65">
        <f t="shared" si="2"/>
        <v>0</v>
      </c>
      <c r="AU28" s="65">
        <f t="shared" si="2"/>
        <v>2200</v>
      </c>
      <c r="AV28" s="65">
        <f t="shared" si="2"/>
        <v>0</v>
      </c>
      <c r="AW28" s="65">
        <f t="shared" si="2"/>
        <v>0</v>
      </c>
      <c r="AX28" s="65">
        <f t="shared" si="2"/>
        <v>0</v>
      </c>
      <c r="AY28" s="65">
        <f t="shared" si="2"/>
        <v>2200</v>
      </c>
      <c r="AZ28" s="65">
        <f t="shared" si="2"/>
        <v>0</v>
      </c>
      <c r="BA28" s="65">
        <f t="shared" si="2"/>
        <v>0</v>
      </c>
      <c r="BB28" s="65">
        <f t="shared" si="2"/>
        <v>0</v>
      </c>
      <c r="BC28" s="65">
        <f t="shared" si="2"/>
        <v>0</v>
      </c>
      <c r="BD28" s="65">
        <f t="shared" si="2"/>
        <v>0</v>
      </c>
      <c r="BE28" s="65">
        <f t="shared" si="2"/>
        <v>0</v>
      </c>
      <c r="BF28" s="65">
        <f t="shared" si="2"/>
        <v>0</v>
      </c>
      <c r="BG28" s="15"/>
      <c r="BH28" s="15"/>
      <c r="BI28" s="15"/>
      <c r="BJ28" s="15"/>
      <c r="BK28" s="15"/>
      <c r="BL28" s="65">
        <f t="shared" ref="BL28" si="3">BL25+BL27</f>
        <v>0</v>
      </c>
      <c r="BM28" s="65">
        <f t="shared" ref="BM28" si="4">BM25+BM27</f>
        <v>0</v>
      </c>
      <c r="BN28" s="65">
        <f t="shared" ref="BN28" si="5">BN25+BN27</f>
        <v>0</v>
      </c>
      <c r="BO28" s="65">
        <f t="shared" ref="BO28" si="6">BO25+BO27</f>
        <v>0</v>
      </c>
      <c r="BP28" s="65">
        <f t="shared" ref="BP28" si="7">BP25+BP27</f>
        <v>0</v>
      </c>
      <c r="BQ28" s="65">
        <f t="shared" ref="BQ28" si="8">BQ25+BQ27</f>
        <v>0</v>
      </c>
      <c r="BR28" s="65">
        <f t="shared" ref="BR28" si="9">BR25+BR27</f>
        <v>0</v>
      </c>
      <c r="BS28" s="65">
        <f t="shared" ref="BS28" si="10">BS25+BS27</f>
        <v>0</v>
      </c>
      <c r="BT28" s="65">
        <f t="shared" ref="BT28" si="11">BT25+BT27</f>
        <v>0</v>
      </c>
      <c r="BU28" s="65">
        <f t="shared" ref="BU28" si="12">BU25+BU27</f>
        <v>0</v>
      </c>
      <c r="BV28" s="65">
        <f t="shared" ref="BV28" si="13">BV25+BV27</f>
        <v>0</v>
      </c>
      <c r="BW28" s="65">
        <f t="shared" ref="BW28" si="14">BW25+BW27</f>
        <v>4400</v>
      </c>
      <c r="BX28" s="65">
        <f t="shared" ref="BX28" si="15">BX25+BX27</f>
        <v>0</v>
      </c>
      <c r="BY28" s="65">
        <f t="shared" ref="BY28" si="16">BY25+BY27</f>
        <v>2200</v>
      </c>
      <c r="BZ28" s="65">
        <f t="shared" ref="BZ28" si="17">BZ25+BZ27</f>
        <v>0</v>
      </c>
      <c r="CA28" s="24"/>
      <c r="CB28" s="80">
        <f>SUM(CB24:CB27)</f>
        <v>11000</v>
      </c>
      <c r="CC28" s="81">
        <f>SUM(CC24:CC27)</f>
        <v>11000</v>
      </c>
      <c r="CD28" s="82">
        <f>SUM(CD24:CD27)</f>
        <v>4400</v>
      </c>
      <c r="CE28" s="83">
        <f>SUM(CE24:CE27)</f>
        <v>4400</v>
      </c>
      <c r="CF28" s="11"/>
      <c r="CG28" s="11"/>
      <c r="CH28" s="11"/>
      <c r="CI28" s="12"/>
      <c r="CJ28" s="12"/>
      <c r="CK28" s="12"/>
      <c r="CL28" s="12"/>
      <c r="CM28" s="12"/>
      <c r="CN28" s="12"/>
      <c r="CO28" s="12"/>
      <c r="CP28" s="12"/>
      <c r="CQ28" s="12"/>
    </row>
    <row r="29" spans="1:187" ht="17.25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M29" s="6"/>
      <c r="AN29" s="6"/>
      <c r="AO29" s="6"/>
      <c r="AP29" s="5"/>
      <c r="BE29" s="7"/>
      <c r="BF29" s="7"/>
      <c r="BG29" s="5"/>
      <c r="BH29" s="5"/>
      <c r="BI29" s="5"/>
      <c r="BJ29" s="5"/>
      <c r="BK29" s="5"/>
      <c r="BL29" s="5"/>
      <c r="BT29" s="6"/>
      <c r="BU29" s="6"/>
      <c r="BV29" s="6"/>
      <c r="BW29" s="6"/>
      <c r="BX29" s="6"/>
      <c r="BY29" s="6"/>
      <c r="BZ29" s="39"/>
      <c r="CA29" s="39"/>
      <c r="CB29" s="28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2"/>
      <c r="CT29" s="2"/>
      <c r="CU29" s="2"/>
      <c r="CV29" s="2"/>
      <c r="CW29" s="2"/>
      <c r="CX29" s="7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</row>
    <row r="30" spans="1:187" ht="17.25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M30" s="6"/>
      <c r="AN30" s="6"/>
      <c r="AO30" s="6"/>
      <c r="AP30" s="5"/>
      <c r="BE30" s="7"/>
      <c r="BF30" s="7"/>
      <c r="BG30" s="5"/>
      <c r="BH30" s="5"/>
      <c r="BI30" s="5"/>
      <c r="BJ30" s="5"/>
      <c r="BK30" s="5"/>
      <c r="BL30" s="5"/>
      <c r="BT30" s="6"/>
      <c r="BU30" s="6"/>
      <c r="BV30" s="6"/>
      <c r="BW30" s="6"/>
      <c r="BX30" s="6"/>
      <c r="BY30" s="6"/>
      <c r="BZ30" s="39"/>
      <c r="CA30" s="39"/>
      <c r="CB30" s="28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2"/>
      <c r="CT30" s="2"/>
      <c r="CU30" s="2"/>
      <c r="CV30" s="2"/>
      <c r="CW30" s="2"/>
      <c r="CX30" s="7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</row>
  </sheetData>
  <mergeCells count="9">
    <mergeCell ref="AO24:AP24"/>
    <mergeCell ref="AO25:AP25"/>
    <mergeCell ref="AO22:AP22"/>
    <mergeCell ref="AO23:AP23"/>
    <mergeCell ref="AM22:AN22"/>
    <mergeCell ref="CA22:CB23"/>
    <mergeCell ref="CC22:CC23"/>
    <mergeCell ref="CD22:CD23"/>
    <mergeCell ref="CE22:CE23"/>
  </mergeCells>
  <printOptions horizontalCentered="1" verticalCentered="1"/>
  <pageMargins left="0.55118110236220474" right="0.55118110236220474" top="0.23622047244094491" bottom="0.27559055118110237" header="0" footer="0"/>
  <pageSetup paperSize="9" pageOrder="overThenDown" orientation="landscape" horizontalDpi="4294967292" verticalDpi="4294967292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2027 pour imprimer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Detkaenot</dc:creator>
  <cp:lastModifiedBy>PC4</cp:lastModifiedBy>
  <cp:lastPrinted>2025-06-01T06:31:17Z</cp:lastPrinted>
  <dcterms:created xsi:type="dcterms:W3CDTF">2022-02-15T09:15:34Z</dcterms:created>
  <dcterms:modified xsi:type="dcterms:W3CDTF">2026-01-15T10:26:30Z</dcterms:modified>
</cp:coreProperties>
</file>