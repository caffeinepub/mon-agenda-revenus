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0" yWindow="45" windowWidth="10140" windowHeight="6915" tabRatio="703"/>
  </bookViews>
  <sheets>
    <sheet name="2027 pour imprimer" sheetId="19" r:id="rId1"/>
  </sheets>
  <calcPr calcId="144525"/>
</workbook>
</file>

<file path=xl/calcChain.xml><?xml version="1.0" encoding="utf-8"?>
<calcChain xmlns="http://schemas.openxmlformats.org/spreadsheetml/2006/main">
  <c r="BY78" i="19" l="1"/>
  <c r="BX78" i="19"/>
  <c r="BW78" i="19"/>
  <c r="BV78" i="19"/>
  <c r="BU78" i="19"/>
  <c r="BT78" i="19"/>
  <c r="BS78" i="19"/>
  <c r="BR78" i="19"/>
  <c r="BQ78" i="19"/>
  <c r="BP78" i="19"/>
  <c r="BO78" i="19"/>
  <c r="BN78" i="19"/>
  <c r="BM78" i="19"/>
  <c r="BL78" i="19"/>
  <c r="BK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P76" i="19"/>
  <c r="AP77" i="19" s="1"/>
  <c r="CB75" i="19"/>
  <c r="C75" i="19"/>
  <c r="D75" i="19" s="1"/>
  <c r="E75" i="19" s="1"/>
  <c r="F75" i="19" s="1"/>
  <c r="G75" i="19" s="1"/>
  <c r="H75" i="19" s="1"/>
  <c r="I75" i="19" s="1"/>
  <c r="J75" i="19" s="1"/>
  <c r="K75" i="19" s="1"/>
  <c r="L75" i="19" s="1"/>
  <c r="M75" i="19" s="1"/>
  <c r="N75" i="19" s="1"/>
  <c r="O75" i="19" s="1"/>
  <c r="P75" i="19" s="1"/>
  <c r="Q75" i="19" s="1"/>
  <c r="R75" i="19" s="1"/>
  <c r="S75" i="19" s="1"/>
  <c r="T75" i="19" s="1"/>
  <c r="U75" i="19" s="1"/>
  <c r="V75" i="19" s="1"/>
  <c r="W75" i="19" s="1"/>
  <c r="X75" i="19" s="1"/>
  <c r="Y75" i="19" s="1"/>
  <c r="Z75" i="19" s="1"/>
  <c r="AA75" i="19" s="1"/>
  <c r="AB75" i="19" s="1"/>
  <c r="AC75" i="19" s="1"/>
  <c r="AD75" i="19" s="1"/>
  <c r="AE75" i="19" s="1"/>
  <c r="AF75" i="19" s="1"/>
  <c r="CC74" i="19"/>
  <c r="CB74" i="19"/>
  <c r="CA74" i="19"/>
  <c r="CA75" i="19" s="1"/>
  <c r="CB73" i="19"/>
  <c r="CB72" i="19" s="1"/>
  <c r="C73" i="19"/>
  <c r="D73" i="19" s="1"/>
  <c r="E73" i="19" s="1"/>
  <c r="F73" i="19" s="1"/>
  <c r="G73" i="19" s="1"/>
  <c r="H73" i="19" s="1"/>
  <c r="I73" i="19" s="1"/>
  <c r="J73" i="19" s="1"/>
  <c r="K73" i="19" s="1"/>
  <c r="L73" i="19" s="1"/>
  <c r="M73" i="19" s="1"/>
  <c r="N73" i="19" s="1"/>
  <c r="O73" i="19" s="1"/>
  <c r="P73" i="19" s="1"/>
  <c r="Q73" i="19" s="1"/>
  <c r="R73" i="19" s="1"/>
  <c r="S73" i="19" s="1"/>
  <c r="T73" i="19" s="1"/>
  <c r="U73" i="19" s="1"/>
  <c r="V73" i="19" s="1"/>
  <c r="W73" i="19" s="1"/>
  <c r="X73" i="19" s="1"/>
  <c r="Y73" i="19" s="1"/>
  <c r="Z73" i="19" s="1"/>
  <c r="AA73" i="19" s="1"/>
  <c r="AB73" i="19" s="1"/>
  <c r="AC73" i="19" s="1"/>
  <c r="AD73" i="19" s="1"/>
  <c r="AE73" i="19" s="1"/>
  <c r="AF73" i="19" s="1"/>
  <c r="CC72" i="19"/>
  <c r="CA72" i="19"/>
  <c r="CA73" i="19" s="1"/>
  <c r="CB71" i="19"/>
  <c r="C71" i="19"/>
  <c r="D71" i="19" s="1"/>
  <c r="E71" i="19" s="1"/>
  <c r="F71" i="19" s="1"/>
  <c r="G71" i="19" s="1"/>
  <c r="H71" i="19" s="1"/>
  <c r="I71" i="19" s="1"/>
  <c r="J71" i="19" s="1"/>
  <c r="K71" i="19" s="1"/>
  <c r="L71" i="19" s="1"/>
  <c r="M71" i="19" s="1"/>
  <c r="N71" i="19" s="1"/>
  <c r="O71" i="19" s="1"/>
  <c r="P71" i="19" s="1"/>
  <c r="Q71" i="19" s="1"/>
  <c r="R71" i="19" s="1"/>
  <c r="S71" i="19" s="1"/>
  <c r="T71" i="19" s="1"/>
  <c r="U71" i="19" s="1"/>
  <c r="V71" i="19" s="1"/>
  <c r="W71" i="19" s="1"/>
  <c r="X71" i="19" s="1"/>
  <c r="Y71" i="19" s="1"/>
  <c r="Z71" i="19" s="1"/>
  <c r="AA71" i="19" s="1"/>
  <c r="AB71" i="19" s="1"/>
  <c r="AC71" i="19" s="1"/>
  <c r="AD71" i="19" s="1"/>
  <c r="AE71" i="19" s="1"/>
  <c r="AF71" i="19" s="1"/>
  <c r="CC70" i="19"/>
  <c r="CA70" i="19"/>
  <c r="CA71" i="19" s="1"/>
  <c r="CB69" i="19"/>
  <c r="C69" i="19"/>
  <c r="D69" i="19" s="1"/>
  <c r="E69" i="19" s="1"/>
  <c r="F69" i="19" s="1"/>
  <c r="G69" i="19" s="1"/>
  <c r="H69" i="19" s="1"/>
  <c r="I69" i="19" s="1"/>
  <c r="J69" i="19" s="1"/>
  <c r="K69" i="19" s="1"/>
  <c r="L69" i="19" s="1"/>
  <c r="M69" i="19" s="1"/>
  <c r="N69" i="19" s="1"/>
  <c r="O69" i="19" s="1"/>
  <c r="P69" i="19" s="1"/>
  <c r="Q69" i="19" s="1"/>
  <c r="R69" i="19" s="1"/>
  <c r="S69" i="19" s="1"/>
  <c r="T69" i="19" s="1"/>
  <c r="U69" i="19" s="1"/>
  <c r="V69" i="19" s="1"/>
  <c r="W69" i="19" s="1"/>
  <c r="X69" i="19" s="1"/>
  <c r="Y69" i="19" s="1"/>
  <c r="Z69" i="19" s="1"/>
  <c r="AA69" i="19" s="1"/>
  <c r="AB69" i="19" s="1"/>
  <c r="AC69" i="19" s="1"/>
  <c r="AD69" i="19" s="1"/>
  <c r="AE69" i="19" s="1"/>
  <c r="AF69" i="19" s="1"/>
  <c r="CC68" i="19"/>
  <c r="CB68" i="19"/>
  <c r="CA68" i="19"/>
  <c r="CD69" i="19" s="1"/>
  <c r="CD68" i="19" s="1"/>
  <c r="CB67" i="19"/>
  <c r="C67" i="19"/>
  <c r="D67" i="19" s="1"/>
  <c r="E67" i="19" s="1"/>
  <c r="F67" i="19" s="1"/>
  <c r="G67" i="19" s="1"/>
  <c r="H67" i="19" s="1"/>
  <c r="I67" i="19" s="1"/>
  <c r="J67" i="19" s="1"/>
  <c r="K67" i="19" s="1"/>
  <c r="L67" i="19" s="1"/>
  <c r="M67" i="19" s="1"/>
  <c r="N67" i="19" s="1"/>
  <c r="O67" i="19" s="1"/>
  <c r="P67" i="19" s="1"/>
  <c r="Q67" i="19" s="1"/>
  <c r="R67" i="19" s="1"/>
  <c r="S67" i="19" s="1"/>
  <c r="T67" i="19" s="1"/>
  <c r="U67" i="19" s="1"/>
  <c r="V67" i="19" s="1"/>
  <c r="W67" i="19" s="1"/>
  <c r="X67" i="19" s="1"/>
  <c r="Y67" i="19" s="1"/>
  <c r="Z67" i="19" s="1"/>
  <c r="AA67" i="19" s="1"/>
  <c r="AB67" i="19" s="1"/>
  <c r="AC67" i="19" s="1"/>
  <c r="AD67" i="19" s="1"/>
  <c r="AE67" i="19" s="1"/>
  <c r="AF67" i="19" s="1"/>
  <c r="CC66" i="19"/>
  <c r="CA66" i="19"/>
  <c r="CA67" i="19" s="1"/>
  <c r="CB65" i="19"/>
  <c r="C65" i="19"/>
  <c r="D65" i="19" s="1"/>
  <c r="E65" i="19" s="1"/>
  <c r="F65" i="19" s="1"/>
  <c r="G65" i="19" s="1"/>
  <c r="H65" i="19" s="1"/>
  <c r="I65" i="19" s="1"/>
  <c r="J65" i="19" s="1"/>
  <c r="K65" i="19" s="1"/>
  <c r="L65" i="19" s="1"/>
  <c r="M65" i="19" s="1"/>
  <c r="N65" i="19" s="1"/>
  <c r="O65" i="19" s="1"/>
  <c r="P65" i="19" s="1"/>
  <c r="Q65" i="19" s="1"/>
  <c r="R65" i="19" s="1"/>
  <c r="S65" i="19" s="1"/>
  <c r="T65" i="19" s="1"/>
  <c r="U65" i="19" s="1"/>
  <c r="V65" i="19" s="1"/>
  <c r="W65" i="19" s="1"/>
  <c r="X65" i="19" s="1"/>
  <c r="Y65" i="19" s="1"/>
  <c r="Z65" i="19" s="1"/>
  <c r="AA65" i="19" s="1"/>
  <c r="AB65" i="19" s="1"/>
  <c r="AC65" i="19" s="1"/>
  <c r="AD65" i="19" s="1"/>
  <c r="AE65" i="19" s="1"/>
  <c r="AF65" i="19" s="1"/>
  <c r="CC64" i="19"/>
  <c r="CB64" i="19"/>
  <c r="CA64" i="19"/>
  <c r="CA65" i="19" s="1"/>
  <c r="CB63" i="19"/>
  <c r="D63" i="19"/>
  <c r="E63" i="19" s="1"/>
  <c r="F63" i="19" s="1"/>
  <c r="G63" i="19" s="1"/>
  <c r="H63" i="19" s="1"/>
  <c r="I63" i="19" s="1"/>
  <c r="J63" i="19" s="1"/>
  <c r="K63" i="19" s="1"/>
  <c r="L63" i="19" s="1"/>
  <c r="M63" i="19" s="1"/>
  <c r="N63" i="19" s="1"/>
  <c r="O63" i="19" s="1"/>
  <c r="P63" i="19" s="1"/>
  <c r="Q63" i="19" s="1"/>
  <c r="R63" i="19" s="1"/>
  <c r="S63" i="19" s="1"/>
  <c r="T63" i="19" s="1"/>
  <c r="U63" i="19" s="1"/>
  <c r="V63" i="19" s="1"/>
  <c r="W63" i="19" s="1"/>
  <c r="X63" i="19" s="1"/>
  <c r="Y63" i="19" s="1"/>
  <c r="Z63" i="19" s="1"/>
  <c r="AA63" i="19" s="1"/>
  <c r="AB63" i="19" s="1"/>
  <c r="AC63" i="19" s="1"/>
  <c r="AD63" i="19" s="1"/>
  <c r="AE63" i="19" s="1"/>
  <c r="AF63" i="19" s="1"/>
  <c r="C63" i="19"/>
  <c r="CC62" i="19"/>
  <c r="CA62" i="19"/>
  <c r="CA63" i="19" s="1"/>
  <c r="CB61" i="19"/>
  <c r="CB60" i="19" s="1"/>
  <c r="C61" i="19"/>
  <c r="D61" i="19" s="1"/>
  <c r="E61" i="19" s="1"/>
  <c r="F61" i="19" s="1"/>
  <c r="G61" i="19" s="1"/>
  <c r="H61" i="19" s="1"/>
  <c r="I61" i="19" s="1"/>
  <c r="J61" i="19" s="1"/>
  <c r="K61" i="19" s="1"/>
  <c r="L61" i="19" s="1"/>
  <c r="M61" i="19" s="1"/>
  <c r="N61" i="19" s="1"/>
  <c r="O61" i="19" s="1"/>
  <c r="P61" i="19" s="1"/>
  <c r="Q61" i="19" s="1"/>
  <c r="R61" i="19" s="1"/>
  <c r="S61" i="19" s="1"/>
  <c r="T61" i="19" s="1"/>
  <c r="U61" i="19" s="1"/>
  <c r="V61" i="19" s="1"/>
  <c r="W61" i="19" s="1"/>
  <c r="X61" i="19" s="1"/>
  <c r="Y61" i="19" s="1"/>
  <c r="Z61" i="19" s="1"/>
  <c r="AA61" i="19" s="1"/>
  <c r="AB61" i="19" s="1"/>
  <c r="AC61" i="19" s="1"/>
  <c r="AD61" i="19" s="1"/>
  <c r="AE61" i="19" s="1"/>
  <c r="AF61" i="19" s="1"/>
  <c r="CC60" i="19"/>
  <c r="CA60" i="19"/>
  <c r="CB59" i="19"/>
  <c r="C59" i="19"/>
  <c r="D59" i="19" s="1"/>
  <c r="E59" i="19" s="1"/>
  <c r="F59" i="19" s="1"/>
  <c r="G59" i="19" s="1"/>
  <c r="H59" i="19" s="1"/>
  <c r="I59" i="19" s="1"/>
  <c r="J59" i="19" s="1"/>
  <c r="K59" i="19" s="1"/>
  <c r="L59" i="19" s="1"/>
  <c r="M59" i="19" s="1"/>
  <c r="N59" i="19" s="1"/>
  <c r="O59" i="19" s="1"/>
  <c r="P59" i="19" s="1"/>
  <c r="Q59" i="19" s="1"/>
  <c r="R59" i="19" s="1"/>
  <c r="S59" i="19" s="1"/>
  <c r="T59" i="19" s="1"/>
  <c r="U59" i="19" s="1"/>
  <c r="V59" i="19" s="1"/>
  <c r="W59" i="19" s="1"/>
  <c r="X59" i="19" s="1"/>
  <c r="Y59" i="19" s="1"/>
  <c r="Z59" i="19" s="1"/>
  <c r="AA59" i="19" s="1"/>
  <c r="AB59" i="19" s="1"/>
  <c r="AC59" i="19" s="1"/>
  <c r="AD59" i="19" s="1"/>
  <c r="AE59" i="19" s="1"/>
  <c r="AF59" i="19" s="1"/>
  <c r="CC58" i="19"/>
  <c r="CA58" i="19"/>
  <c r="CA59" i="19" s="1"/>
  <c r="CB57" i="19"/>
  <c r="C57" i="19"/>
  <c r="D57" i="19" s="1"/>
  <c r="E57" i="19" s="1"/>
  <c r="F57" i="19" s="1"/>
  <c r="G57" i="19" s="1"/>
  <c r="H57" i="19" s="1"/>
  <c r="I57" i="19" s="1"/>
  <c r="J57" i="19" s="1"/>
  <c r="K57" i="19" s="1"/>
  <c r="L57" i="19" s="1"/>
  <c r="M57" i="19" s="1"/>
  <c r="N57" i="19" s="1"/>
  <c r="O57" i="19" s="1"/>
  <c r="P57" i="19" s="1"/>
  <c r="Q57" i="19" s="1"/>
  <c r="R57" i="19" s="1"/>
  <c r="S57" i="19" s="1"/>
  <c r="T57" i="19" s="1"/>
  <c r="U57" i="19" s="1"/>
  <c r="V57" i="19" s="1"/>
  <c r="W57" i="19" s="1"/>
  <c r="X57" i="19" s="1"/>
  <c r="Y57" i="19" s="1"/>
  <c r="Z57" i="19" s="1"/>
  <c r="AA57" i="19" s="1"/>
  <c r="AB57" i="19" s="1"/>
  <c r="AC57" i="19" s="1"/>
  <c r="AD57" i="19" s="1"/>
  <c r="AE57" i="19" s="1"/>
  <c r="AF57" i="19" s="1"/>
  <c r="CC56" i="19"/>
  <c r="CB56" i="19"/>
  <c r="CA56" i="19"/>
  <c r="CA57" i="19" s="1"/>
  <c r="CB55" i="19"/>
  <c r="C55" i="19"/>
  <c r="D55" i="19" s="1"/>
  <c r="E55" i="19" s="1"/>
  <c r="F55" i="19" s="1"/>
  <c r="G55" i="19" s="1"/>
  <c r="H55" i="19" s="1"/>
  <c r="I55" i="19" s="1"/>
  <c r="J55" i="19" s="1"/>
  <c r="K55" i="19" s="1"/>
  <c r="L55" i="19" s="1"/>
  <c r="M55" i="19" s="1"/>
  <c r="N55" i="19" s="1"/>
  <c r="O55" i="19" s="1"/>
  <c r="P55" i="19" s="1"/>
  <c r="Q55" i="19" s="1"/>
  <c r="R55" i="19" s="1"/>
  <c r="S55" i="19" s="1"/>
  <c r="T55" i="19" s="1"/>
  <c r="U55" i="19" s="1"/>
  <c r="V55" i="19" s="1"/>
  <c r="W55" i="19" s="1"/>
  <c r="X55" i="19" s="1"/>
  <c r="Y55" i="19" s="1"/>
  <c r="Z55" i="19" s="1"/>
  <c r="AA55" i="19" s="1"/>
  <c r="AB55" i="19" s="1"/>
  <c r="AC55" i="19" s="1"/>
  <c r="AD55" i="19" s="1"/>
  <c r="AE55" i="19" s="1"/>
  <c r="AF55" i="19" s="1"/>
  <c r="CC54" i="19"/>
  <c r="CA54" i="19"/>
  <c r="CA55" i="19" s="1"/>
  <c r="CB53" i="19"/>
  <c r="C53" i="19"/>
  <c r="D53" i="19" s="1"/>
  <c r="E53" i="19" s="1"/>
  <c r="F53" i="19" s="1"/>
  <c r="G53" i="19" s="1"/>
  <c r="H53" i="19" s="1"/>
  <c r="I53" i="19" s="1"/>
  <c r="J53" i="19" s="1"/>
  <c r="K53" i="19" s="1"/>
  <c r="L53" i="19" s="1"/>
  <c r="M53" i="19" s="1"/>
  <c r="N53" i="19" s="1"/>
  <c r="O53" i="19" s="1"/>
  <c r="P53" i="19" s="1"/>
  <c r="Q53" i="19" s="1"/>
  <c r="R53" i="19" s="1"/>
  <c r="S53" i="19" s="1"/>
  <c r="T53" i="19" s="1"/>
  <c r="U53" i="19" s="1"/>
  <c r="V53" i="19" s="1"/>
  <c r="W53" i="19" s="1"/>
  <c r="X53" i="19" s="1"/>
  <c r="Y53" i="19" s="1"/>
  <c r="Z53" i="19" s="1"/>
  <c r="AA53" i="19" s="1"/>
  <c r="AB53" i="19" s="1"/>
  <c r="AC53" i="19" s="1"/>
  <c r="AD53" i="19" s="1"/>
  <c r="AE53" i="19" s="1"/>
  <c r="AF53" i="19" s="1"/>
  <c r="CC52" i="19"/>
  <c r="CB52" i="19"/>
  <c r="CA52" i="19"/>
  <c r="CB51" i="19"/>
  <c r="C51" i="19"/>
  <c r="D51" i="19" s="1"/>
  <c r="E51" i="19" s="1"/>
  <c r="F51" i="19" s="1"/>
  <c r="G51" i="19" s="1"/>
  <c r="H51" i="19" s="1"/>
  <c r="I51" i="19" s="1"/>
  <c r="J51" i="19" s="1"/>
  <c r="K51" i="19" s="1"/>
  <c r="L51" i="19" s="1"/>
  <c r="M51" i="19" s="1"/>
  <c r="N51" i="19" s="1"/>
  <c r="O51" i="19" s="1"/>
  <c r="P51" i="19" s="1"/>
  <c r="Q51" i="19" s="1"/>
  <c r="R51" i="19" s="1"/>
  <c r="S51" i="19" s="1"/>
  <c r="T51" i="19" s="1"/>
  <c r="U51" i="19" s="1"/>
  <c r="V51" i="19" s="1"/>
  <c r="W51" i="19" s="1"/>
  <c r="X51" i="19" s="1"/>
  <c r="Y51" i="19" s="1"/>
  <c r="Z51" i="19" s="1"/>
  <c r="AA51" i="19" s="1"/>
  <c r="AB51" i="19" s="1"/>
  <c r="AC51" i="19" s="1"/>
  <c r="AD51" i="19" s="1"/>
  <c r="AE51" i="19" s="1"/>
  <c r="AF51" i="19" s="1"/>
  <c r="CC50" i="19"/>
  <c r="CA50" i="19"/>
  <c r="CA51" i="19" s="1"/>
  <c r="CB49" i="19"/>
  <c r="C49" i="19"/>
  <c r="D49" i="19" s="1"/>
  <c r="E49" i="19" s="1"/>
  <c r="F49" i="19" s="1"/>
  <c r="G49" i="19" s="1"/>
  <c r="H49" i="19" s="1"/>
  <c r="I49" i="19" s="1"/>
  <c r="J49" i="19" s="1"/>
  <c r="K49" i="19" s="1"/>
  <c r="L49" i="19" s="1"/>
  <c r="M49" i="19" s="1"/>
  <c r="N49" i="19" s="1"/>
  <c r="O49" i="19" s="1"/>
  <c r="P49" i="19" s="1"/>
  <c r="Q49" i="19" s="1"/>
  <c r="R49" i="19" s="1"/>
  <c r="S49" i="19" s="1"/>
  <c r="T49" i="19" s="1"/>
  <c r="U49" i="19" s="1"/>
  <c r="V49" i="19" s="1"/>
  <c r="W49" i="19" s="1"/>
  <c r="X49" i="19" s="1"/>
  <c r="Y49" i="19" s="1"/>
  <c r="Z49" i="19" s="1"/>
  <c r="AA49" i="19" s="1"/>
  <c r="AB49" i="19" s="1"/>
  <c r="AC49" i="19" s="1"/>
  <c r="AD49" i="19" s="1"/>
  <c r="AE49" i="19" s="1"/>
  <c r="AF49" i="19" s="1"/>
  <c r="CC48" i="19"/>
  <c r="CB48" i="19"/>
  <c r="CA48" i="19"/>
  <c r="CA49" i="19" s="1"/>
  <c r="CB47" i="19"/>
  <c r="C47" i="19"/>
  <c r="D47" i="19" s="1"/>
  <c r="E47" i="19" s="1"/>
  <c r="F47" i="19" s="1"/>
  <c r="G47" i="19" s="1"/>
  <c r="H47" i="19" s="1"/>
  <c r="I47" i="19" s="1"/>
  <c r="J47" i="19" s="1"/>
  <c r="K47" i="19" s="1"/>
  <c r="L47" i="19" s="1"/>
  <c r="M47" i="19" s="1"/>
  <c r="N47" i="19" s="1"/>
  <c r="O47" i="19" s="1"/>
  <c r="P47" i="19" s="1"/>
  <c r="Q47" i="19" s="1"/>
  <c r="R47" i="19" s="1"/>
  <c r="S47" i="19" s="1"/>
  <c r="T47" i="19" s="1"/>
  <c r="U47" i="19" s="1"/>
  <c r="V47" i="19" s="1"/>
  <c r="W47" i="19" s="1"/>
  <c r="X47" i="19" s="1"/>
  <c r="Y47" i="19" s="1"/>
  <c r="Z47" i="19" s="1"/>
  <c r="AA47" i="19" s="1"/>
  <c r="AB47" i="19" s="1"/>
  <c r="AC47" i="19" s="1"/>
  <c r="AD47" i="19" s="1"/>
  <c r="AE47" i="19" s="1"/>
  <c r="AF47" i="19" s="1"/>
  <c r="CC46" i="19"/>
  <c r="CA46" i="19"/>
  <c r="CA47" i="19" s="1"/>
  <c r="CB45" i="19"/>
  <c r="C45" i="19"/>
  <c r="D45" i="19" s="1"/>
  <c r="E45" i="19" s="1"/>
  <c r="F45" i="19" s="1"/>
  <c r="G45" i="19" s="1"/>
  <c r="H45" i="19" s="1"/>
  <c r="I45" i="19" s="1"/>
  <c r="J45" i="19" s="1"/>
  <c r="K45" i="19" s="1"/>
  <c r="L45" i="19" s="1"/>
  <c r="M45" i="19" s="1"/>
  <c r="N45" i="19" s="1"/>
  <c r="O45" i="19" s="1"/>
  <c r="P45" i="19" s="1"/>
  <c r="Q45" i="19" s="1"/>
  <c r="R45" i="19" s="1"/>
  <c r="S45" i="19" s="1"/>
  <c r="T45" i="19" s="1"/>
  <c r="U45" i="19" s="1"/>
  <c r="V45" i="19" s="1"/>
  <c r="W45" i="19" s="1"/>
  <c r="X45" i="19" s="1"/>
  <c r="Y45" i="19" s="1"/>
  <c r="Z45" i="19" s="1"/>
  <c r="AA45" i="19" s="1"/>
  <c r="AB45" i="19" s="1"/>
  <c r="AC45" i="19" s="1"/>
  <c r="AD45" i="19" s="1"/>
  <c r="AE45" i="19" s="1"/>
  <c r="AF45" i="19" s="1"/>
  <c r="CC44" i="19"/>
  <c r="CB44" i="19"/>
  <c r="CA44" i="19"/>
  <c r="CB43" i="19"/>
  <c r="C43" i="19"/>
  <c r="D43" i="19" s="1"/>
  <c r="E43" i="19" s="1"/>
  <c r="F43" i="19" s="1"/>
  <c r="G43" i="19" s="1"/>
  <c r="H43" i="19" s="1"/>
  <c r="I43" i="19" s="1"/>
  <c r="J43" i="19" s="1"/>
  <c r="K43" i="19" s="1"/>
  <c r="L43" i="19" s="1"/>
  <c r="M43" i="19" s="1"/>
  <c r="N43" i="19" s="1"/>
  <c r="O43" i="19" s="1"/>
  <c r="P43" i="19" s="1"/>
  <c r="Q43" i="19" s="1"/>
  <c r="R43" i="19" s="1"/>
  <c r="S43" i="19" s="1"/>
  <c r="T43" i="19" s="1"/>
  <c r="U43" i="19" s="1"/>
  <c r="V43" i="19" s="1"/>
  <c r="W43" i="19" s="1"/>
  <c r="X43" i="19" s="1"/>
  <c r="Y43" i="19" s="1"/>
  <c r="Z43" i="19" s="1"/>
  <c r="AA43" i="19" s="1"/>
  <c r="AB43" i="19" s="1"/>
  <c r="AC43" i="19" s="1"/>
  <c r="AD43" i="19" s="1"/>
  <c r="AE43" i="19" s="1"/>
  <c r="AF43" i="19" s="1"/>
  <c r="CC42" i="19"/>
  <c r="CA42" i="19"/>
  <c r="CA43" i="19" s="1"/>
  <c r="CB41" i="19"/>
  <c r="C41" i="19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AD41" i="19" s="1"/>
  <c r="AE41" i="19" s="1"/>
  <c r="AF41" i="19" s="1"/>
  <c r="CC40" i="19"/>
  <c r="CB40" i="19"/>
  <c r="CA40" i="19"/>
  <c r="CA41" i="19" s="1"/>
  <c r="CB39" i="19"/>
  <c r="C39" i="19"/>
  <c r="D39" i="19" s="1"/>
  <c r="E39" i="19" s="1"/>
  <c r="F39" i="19" s="1"/>
  <c r="G39" i="19" s="1"/>
  <c r="H39" i="19" s="1"/>
  <c r="I39" i="19" s="1"/>
  <c r="J39" i="19" s="1"/>
  <c r="K39" i="19" s="1"/>
  <c r="L39" i="19" s="1"/>
  <c r="M39" i="19" s="1"/>
  <c r="N39" i="19" s="1"/>
  <c r="O39" i="19" s="1"/>
  <c r="P39" i="19" s="1"/>
  <c r="Q39" i="19" s="1"/>
  <c r="R39" i="19" s="1"/>
  <c r="S39" i="19" s="1"/>
  <c r="T39" i="19" s="1"/>
  <c r="U39" i="19" s="1"/>
  <c r="V39" i="19" s="1"/>
  <c r="W39" i="19" s="1"/>
  <c r="X39" i="19" s="1"/>
  <c r="Y39" i="19" s="1"/>
  <c r="Z39" i="19" s="1"/>
  <c r="AA39" i="19" s="1"/>
  <c r="AB39" i="19" s="1"/>
  <c r="AC39" i="19" s="1"/>
  <c r="AD39" i="19" s="1"/>
  <c r="AE39" i="19" s="1"/>
  <c r="AF39" i="19" s="1"/>
  <c r="CC38" i="19"/>
  <c r="CA38" i="19"/>
  <c r="CA39" i="19" s="1"/>
  <c r="CB37" i="19"/>
  <c r="C37" i="19"/>
  <c r="D37" i="19" s="1"/>
  <c r="E37" i="19" s="1"/>
  <c r="F37" i="19" s="1"/>
  <c r="G37" i="19" s="1"/>
  <c r="H37" i="19" s="1"/>
  <c r="I37" i="19" s="1"/>
  <c r="J37" i="19" s="1"/>
  <c r="K37" i="19" s="1"/>
  <c r="L37" i="19" s="1"/>
  <c r="M37" i="19" s="1"/>
  <c r="N37" i="19" s="1"/>
  <c r="O37" i="19" s="1"/>
  <c r="P37" i="19" s="1"/>
  <c r="Q37" i="19" s="1"/>
  <c r="R37" i="19" s="1"/>
  <c r="S37" i="19" s="1"/>
  <c r="T37" i="19" s="1"/>
  <c r="U37" i="19" s="1"/>
  <c r="V37" i="19" s="1"/>
  <c r="W37" i="19" s="1"/>
  <c r="X37" i="19" s="1"/>
  <c r="Y37" i="19" s="1"/>
  <c r="Z37" i="19" s="1"/>
  <c r="AA37" i="19" s="1"/>
  <c r="AB37" i="19" s="1"/>
  <c r="AC37" i="19" s="1"/>
  <c r="AD37" i="19" s="1"/>
  <c r="AE37" i="19" s="1"/>
  <c r="AF37" i="19" s="1"/>
  <c r="CC36" i="19"/>
  <c r="CB36" i="19"/>
  <c r="CA36" i="19"/>
  <c r="CD37" i="19" s="1"/>
  <c r="CD36" i="19" s="1"/>
  <c r="CB35" i="19"/>
  <c r="C35" i="19"/>
  <c r="D35" i="19" s="1"/>
  <c r="E35" i="19" s="1"/>
  <c r="F35" i="19" s="1"/>
  <c r="G35" i="19" s="1"/>
  <c r="H35" i="19" s="1"/>
  <c r="I35" i="19" s="1"/>
  <c r="J35" i="19" s="1"/>
  <c r="K35" i="19" s="1"/>
  <c r="L35" i="19" s="1"/>
  <c r="M35" i="19" s="1"/>
  <c r="N35" i="19" s="1"/>
  <c r="O35" i="19" s="1"/>
  <c r="P35" i="19" s="1"/>
  <c r="Q35" i="19" s="1"/>
  <c r="R35" i="19" s="1"/>
  <c r="S35" i="19" s="1"/>
  <c r="T35" i="19" s="1"/>
  <c r="U35" i="19" s="1"/>
  <c r="V35" i="19" s="1"/>
  <c r="W35" i="19" s="1"/>
  <c r="X35" i="19" s="1"/>
  <c r="Y35" i="19" s="1"/>
  <c r="Z35" i="19" s="1"/>
  <c r="AA35" i="19" s="1"/>
  <c r="AB35" i="19" s="1"/>
  <c r="AC35" i="19" s="1"/>
  <c r="AD35" i="19" s="1"/>
  <c r="AE35" i="19" s="1"/>
  <c r="AF35" i="19" s="1"/>
  <c r="CC34" i="19"/>
  <c r="CA34" i="19"/>
  <c r="CA35" i="19" s="1"/>
  <c r="CB33" i="19"/>
  <c r="C33" i="19"/>
  <c r="D33" i="19" s="1"/>
  <c r="E33" i="19" s="1"/>
  <c r="F33" i="19" s="1"/>
  <c r="G33" i="19" s="1"/>
  <c r="H33" i="19" s="1"/>
  <c r="I33" i="19" s="1"/>
  <c r="J33" i="19" s="1"/>
  <c r="K33" i="19" s="1"/>
  <c r="L33" i="19" s="1"/>
  <c r="M33" i="19" s="1"/>
  <c r="N33" i="19" s="1"/>
  <c r="O33" i="19" s="1"/>
  <c r="P33" i="19" s="1"/>
  <c r="Q33" i="19" s="1"/>
  <c r="R33" i="19" s="1"/>
  <c r="S33" i="19" s="1"/>
  <c r="T33" i="19" s="1"/>
  <c r="U33" i="19" s="1"/>
  <c r="V33" i="19" s="1"/>
  <c r="W33" i="19" s="1"/>
  <c r="X33" i="19" s="1"/>
  <c r="Y33" i="19" s="1"/>
  <c r="Z33" i="19" s="1"/>
  <c r="AA33" i="19" s="1"/>
  <c r="AB33" i="19" s="1"/>
  <c r="AC33" i="19" s="1"/>
  <c r="AD33" i="19" s="1"/>
  <c r="AE33" i="19" s="1"/>
  <c r="AF33" i="19" s="1"/>
  <c r="CC32" i="19"/>
  <c r="CB32" i="19"/>
  <c r="CA32" i="19"/>
  <c r="CA33" i="19" s="1"/>
  <c r="CB31" i="19"/>
  <c r="C31" i="19"/>
  <c r="D31" i="19" s="1"/>
  <c r="E31" i="19" s="1"/>
  <c r="F31" i="19" s="1"/>
  <c r="G31" i="19" s="1"/>
  <c r="H31" i="19" s="1"/>
  <c r="I31" i="19" s="1"/>
  <c r="J31" i="19" s="1"/>
  <c r="K31" i="19" s="1"/>
  <c r="L31" i="19" s="1"/>
  <c r="M31" i="19" s="1"/>
  <c r="N31" i="19" s="1"/>
  <c r="O31" i="19" s="1"/>
  <c r="P31" i="19" s="1"/>
  <c r="Q31" i="19" s="1"/>
  <c r="R31" i="19" s="1"/>
  <c r="S31" i="19" s="1"/>
  <c r="T31" i="19" s="1"/>
  <c r="U31" i="19" s="1"/>
  <c r="V31" i="19" s="1"/>
  <c r="W31" i="19" s="1"/>
  <c r="X31" i="19" s="1"/>
  <c r="Y31" i="19" s="1"/>
  <c r="Z31" i="19" s="1"/>
  <c r="AA31" i="19" s="1"/>
  <c r="AB31" i="19" s="1"/>
  <c r="AC31" i="19" s="1"/>
  <c r="AD31" i="19" s="1"/>
  <c r="AE31" i="19" s="1"/>
  <c r="AF31" i="19" s="1"/>
  <c r="CC30" i="19"/>
  <c r="CA30" i="19"/>
  <c r="CA31" i="19" s="1"/>
  <c r="CB29" i="19"/>
  <c r="C29" i="19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D29" i="19" s="1"/>
  <c r="AE29" i="19" s="1"/>
  <c r="AF29" i="19" s="1"/>
  <c r="CC28" i="19"/>
  <c r="CB28" i="19"/>
  <c r="CA28" i="19"/>
  <c r="CB27" i="19"/>
  <c r="C27" i="19"/>
  <c r="D27" i="19" s="1"/>
  <c r="E27" i="19" s="1"/>
  <c r="F27" i="19" s="1"/>
  <c r="G27" i="19" s="1"/>
  <c r="H27" i="19" s="1"/>
  <c r="I27" i="19" s="1"/>
  <c r="J27" i="19" s="1"/>
  <c r="K27" i="19" s="1"/>
  <c r="L27" i="19" s="1"/>
  <c r="M27" i="19" s="1"/>
  <c r="N27" i="19" s="1"/>
  <c r="O27" i="19" s="1"/>
  <c r="P27" i="19" s="1"/>
  <c r="Q27" i="19" s="1"/>
  <c r="R27" i="19" s="1"/>
  <c r="S27" i="19" s="1"/>
  <c r="T27" i="19" s="1"/>
  <c r="U27" i="19" s="1"/>
  <c r="V27" i="19" s="1"/>
  <c r="W27" i="19" s="1"/>
  <c r="X27" i="19" s="1"/>
  <c r="Y27" i="19" s="1"/>
  <c r="Z27" i="19" s="1"/>
  <c r="AA27" i="19" s="1"/>
  <c r="AB27" i="19" s="1"/>
  <c r="AC27" i="19" s="1"/>
  <c r="AD27" i="19" s="1"/>
  <c r="AE27" i="19" s="1"/>
  <c r="AF27" i="19" s="1"/>
  <c r="CC26" i="19"/>
  <c r="CA26" i="19"/>
  <c r="CA27" i="19" s="1"/>
  <c r="CB25" i="19"/>
  <c r="CB24" i="19" s="1"/>
  <c r="C25" i="19"/>
  <c r="AQ76" i="19" s="1"/>
  <c r="CC24" i="19"/>
  <c r="CA24" i="19"/>
  <c r="CA25" i="19" s="1"/>
  <c r="CD65" i="19" l="1"/>
  <c r="CD64" i="19" s="1"/>
  <c r="CD33" i="19"/>
  <c r="CD32" i="19" s="1"/>
  <c r="CD49" i="19"/>
  <c r="CD48" i="19" s="1"/>
  <c r="CD53" i="19"/>
  <c r="CD52" i="19" s="1"/>
  <c r="CD75" i="19"/>
  <c r="CD74" i="19" s="1"/>
  <c r="CD25" i="19"/>
  <c r="CD24" i="19" s="1"/>
  <c r="CD27" i="19"/>
  <c r="CD26" i="19" s="1"/>
  <c r="CD29" i="19"/>
  <c r="CD28" i="19" s="1"/>
  <c r="CD41" i="19"/>
  <c r="CD40" i="19" s="1"/>
  <c r="CD43" i="19"/>
  <c r="CD42" i="19" s="1"/>
  <c r="CD45" i="19"/>
  <c r="CD44" i="19" s="1"/>
  <c r="CD57" i="19"/>
  <c r="CD56" i="19" s="1"/>
  <c r="CD59" i="19"/>
  <c r="CD58" i="19" s="1"/>
  <c r="CD61" i="19"/>
  <c r="CD60" i="19" s="1"/>
  <c r="CD35" i="19"/>
  <c r="CD34" i="19" s="1"/>
  <c r="CD51" i="19"/>
  <c r="CD50" i="19" s="1"/>
  <c r="CD67" i="19"/>
  <c r="CD66" i="19" s="1"/>
  <c r="CA29" i="19"/>
  <c r="CA37" i="19"/>
  <c r="CA45" i="19"/>
  <c r="CA53" i="19"/>
  <c r="CA61" i="19"/>
  <c r="CA69" i="19"/>
  <c r="CD31" i="19"/>
  <c r="CD30" i="19" s="1"/>
  <c r="CD39" i="19"/>
  <c r="CD38" i="19" s="1"/>
  <c r="CD47" i="19"/>
  <c r="CD46" i="19" s="1"/>
  <c r="CD55" i="19"/>
  <c r="CD54" i="19" s="1"/>
  <c r="CD63" i="19"/>
  <c r="CD62" i="19" s="1"/>
  <c r="CD71" i="19"/>
  <c r="CD70" i="19" s="1"/>
  <c r="CD73" i="19"/>
  <c r="CD72" i="19" s="1"/>
  <c r="CC76" i="19"/>
  <c r="D25" i="19"/>
  <c r="CB26" i="19"/>
  <c r="CB30" i="19"/>
  <c r="CB34" i="19"/>
  <c r="CB38" i="19"/>
  <c r="CB42" i="19"/>
  <c r="CB46" i="19"/>
  <c r="CB50" i="19"/>
  <c r="CB54" i="19"/>
  <c r="CB58" i="19"/>
  <c r="CB62" i="19"/>
  <c r="CB66" i="19"/>
  <c r="CB70" i="19"/>
  <c r="AQ77" i="19"/>
  <c r="CA76" i="19"/>
  <c r="CD76" i="19" l="1"/>
  <c r="CB76" i="19"/>
  <c r="E25" i="19"/>
  <c r="AR76" i="19"/>
  <c r="AR77" i="19" s="1"/>
  <c r="AS76" i="19" l="1"/>
  <c r="AS77" i="19" s="1"/>
  <c r="F25" i="19"/>
  <c r="AT76" i="19" l="1"/>
  <c r="AT77" i="19" s="1"/>
  <c r="G25" i="19"/>
  <c r="AU76" i="19" l="1"/>
  <c r="AU77" i="19" s="1"/>
  <c r="H25" i="19"/>
  <c r="I25" i="19" l="1"/>
  <c r="AV76" i="19"/>
  <c r="AV77" i="19" s="1"/>
  <c r="AW76" i="19" l="1"/>
  <c r="AW77" i="19" s="1"/>
  <c r="J25" i="19"/>
  <c r="AX76" i="19" l="1"/>
  <c r="AX77" i="19" s="1"/>
  <c r="K25" i="19"/>
  <c r="AY76" i="19" l="1"/>
  <c r="AY77" i="19" s="1"/>
  <c r="L25" i="19"/>
  <c r="M25" i="19" l="1"/>
  <c r="AZ76" i="19"/>
  <c r="AZ77" i="19" s="1"/>
  <c r="BA76" i="19" l="1"/>
  <c r="BA77" i="19" s="1"/>
  <c r="N25" i="19"/>
  <c r="BB76" i="19" l="1"/>
  <c r="BB77" i="19" s="1"/>
  <c r="O25" i="19"/>
  <c r="BC76" i="19" l="1"/>
  <c r="BC77" i="19" s="1"/>
  <c r="P25" i="19"/>
  <c r="Q25" i="19" l="1"/>
  <c r="BD76" i="19"/>
  <c r="BD77" i="19" s="1"/>
  <c r="BE76" i="19" l="1"/>
  <c r="BE77" i="19" s="1"/>
  <c r="R25" i="19"/>
  <c r="BK76" i="19" l="1"/>
  <c r="BK77" i="19" s="1"/>
  <c r="S25" i="19"/>
  <c r="BL76" i="19" l="1"/>
  <c r="BL77" i="19" s="1"/>
  <c r="T25" i="19"/>
  <c r="U25" i="19" l="1"/>
  <c r="BM76" i="19"/>
  <c r="BM77" i="19" s="1"/>
  <c r="BN76" i="19" l="1"/>
  <c r="BN77" i="19" s="1"/>
  <c r="V25" i="19"/>
  <c r="BO76" i="19" l="1"/>
  <c r="BO77" i="19" s="1"/>
  <c r="W25" i="19"/>
  <c r="BP76" i="19" l="1"/>
  <c r="BP77" i="19" s="1"/>
  <c r="X25" i="19"/>
  <c r="Y25" i="19" l="1"/>
  <c r="BQ76" i="19"/>
  <c r="BQ77" i="19" s="1"/>
  <c r="BR76" i="19" l="1"/>
  <c r="BR77" i="19" s="1"/>
  <c r="Z25" i="19"/>
  <c r="BS76" i="19" l="1"/>
  <c r="BS77" i="19" s="1"/>
  <c r="AA25" i="19"/>
  <c r="BT76" i="19" l="1"/>
  <c r="BT77" i="19" s="1"/>
  <c r="AB25" i="19"/>
  <c r="AC25" i="19" l="1"/>
  <c r="BU76" i="19"/>
  <c r="BU77" i="19" s="1"/>
  <c r="BV76" i="19" l="1"/>
  <c r="BV77" i="19" s="1"/>
  <c r="AD25" i="19"/>
  <c r="BW76" i="19" l="1"/>
  <c r="BW77" i="19" s="1"/>
  <c r="AE25" i="19"/>
  <c r="BX76" i="19" l="1"/>
  <c r="BX77" i="19" s="1"/>
  <c r="AF25" i="19"/>
  <c r="BY76" i="19" s="1"/>
  <c r="BY77" i="19" l="1"/>
</calcChain>
</file>

<file path=xl/sharedStrings.xml><?xml version="1.0" encoding="utf-8"?>
<sst xmlns="http://schemas.openxmlformats.org/spreadsheetml/2006/main" count="75" uniqueCount="23">
  <si>
    <t xml:space="preserve"> +</t>
  </si>
  <si>
    <t>Samedi</t>
  </si>
  <si>
    <t>Lundi</t>
  </si>
  <si>
    <t>Mardi</t>
  </si>
  <si>
    <t>Mercredi</t>
  </si>
  <si>
    <t>Jeudi</t>
  </si>
  <si>
    <t>Vendredi</t>
  </si>
  <si>
    <t>Dimanche</t>
  </si>
  <si>
    <t xml:space="preserve"> =D</t>
  </si>
  <si>
    <t>Colonne total dû
des revenus
du mois</t>
  </si>
  <si>
    <t>Crédit élèves</t>
  </si>
  <si>
    <t>Sommes reçu
ce mois-ci</t>
  </si>
  <si>
    <t>Report crédit mois dernier</t>
  </si>
  <si>
    <t>Taux change</t>
  </si>
  <si>
    <t>Janvier 2027</t>
  </si>
  <si>
    <t>A payer</t>
  </si>
  <si>
    <t>Payé</t>
  </si>
  <si>
    <t>Jean Dupont</t>
  </si>
  <si>
    <t>Référence Jean Dupont: 150126</t>
  </si>
  <si>
    <t>Référence Pierre Dupuit : 020126</t>
  </si>
  <si>
    <t>Alain Dupuit</t>
  </si>
  <si>
    <t>Ligne total recette par jour</t>
  </si>
  <si>
    <t>Ligne cumule payé jour après jour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</si>
</sst>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,##0_ ;[Red]\-#,##0\ "/>
    <numFmt numFmtId="165" formatCode="0_ ;\-0\ "/>
    <numFmt numFmtId="166" formatCode="#,##0.00_ ;[Red]\-#,##0.00\ "/>
    <numFmt numFmtId="171" formatCode="0.000"/>
  </numFmts>
  <fonts count="19" x14ac:knownFonts="1">
    <font>
      <sz val="11"/>
      <color theme="1"/>
      <name val="Calibri"/>
      <family val="2"/>
      <scheme val="minor"/>
    </font>
    <font>
      <sz val="9"/>
      <color theme="1"/>
      <name val="Comic Sans MS"/>
      <family val="4"/>
    </font>
    <font>
      <sz val="8"/>
      <color theme="1"/>
      <name val="Comic Sans MS"/>
      <family val="4"/>
    </font>
    <font>
      <sz val="11"/>
      <color theme="1"/>
      <name val="Comic Sans MS"/>
      <family val="4"/>
    </font>
    <font>
      <sz val="8"/>
      <color theme="1"/>
      <name val="Tahoma"/>
      <family val="2"/>
    </font>
    <font>
      <sz val="8"/>
      <color theme="0" tint="-0.34998626667073579"/>
      <name val="Tahoma"/>
      <family val="2"/>
    </font>
    <font>
      <sz val="9"/>
      <color theme="1"/>
      <name val="Tahoma"/>
      <family val="2"/>
    </font>
    <font>
      <sz val="7"/>
      <color theme="1"/>
      <name val="Comic Sans MS"/>
      <family val="4"/>
    </font>
    <font>
      <sz val="7"/>
      <color theme="1"/>
      <name val="Tahoma"/>
      <family val="2"/>
    </font>
    <font>
      <b/>
      <sz val="8"/>
      <color theme="1"/>
      <name val="Comic Sans MS"/>
      <family val="4"/>
    </font>
    <font>
      <sz val="8"/>
      <color theme="1"/>
      <name val="Calibri"/>
      <family val="2"/>
    </font>
    <font>
      <sz val="8"/>
      <color rgb="FF00B0F0"/>
      <name val="Tahoma"/>
      <family val="2"/>
    </font>
    <font>
      <sz val="7"/>
      <color rgb="FF000000"/>
      <name val="Tahoma"/>
      <family val="2"/>
    </font>
    <font>
      <b/>
      <sz val="12"/>
      <color theme="1"/>
      <name val="Bahnschrift"/>
      <family val="2"/>
    </font>
    <font>
      <b/>
      <sz val="7"/>
      <color theme="1"/>
      <name val="Comic Sans MS"/>
      <family val="4"/>
    </font>
    <font>
      <sz val="7"/>
      <color rgb="FF00B0F0"/>
      <name val="Tahoma"/>
      <family val="2"/>
    </font>
    <font>
      <b/>
      <sz val="8"/>
      <color theme="1"/>
      <name val="Tahoma"/>
      <family val="2"/>
    </font>
    <font>
      <b/>
      <sz val="7"/>
      <color theme="1"/>
      <name val="Tahoma"/>
      <family val="2"/>
    </font>
    <font>
      <sz val="6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7">
    <border>
      <left/>
      <right/>
      <top/>
      <bottom/>
      <diagonal/>
    </border>
    <border>
      <left style="medium">
        <color theme="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dotted">
        <color theme="1"/>
      </top>
      <bottom style="thin">
        <color theme="1"/>
      </bottom>
      <diagonal/>
    </border>
    <border>
      <left style="thin">
        <color theme="1"/>
      </left>
      <right/>
      <top style="dotted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dotted">
        <color theme="1"/>
      </top>
      <bottom/>
      <diagonal/>
    </border>
    <border>
      <left style="medium">
        <color theme="1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tted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 style="thin">
        <color theme="1"/>
      </top>
      <bottom style="hair">
        <color theme="0" tint="-0.499984740745262"/>
      </bottom>
      <diagonal/>
    </border>
    <border>
      <left style="medium">
        <color theme="1"/>
      </left>
      <right/>
      <top style="hair">
        <color theme="0" tint="-0.499984740745262"/>
      </top>
      <bottom style="thin">
        <color theme="1"/>
      </bottom>
      <diagonal/>
    </border>
    <border>
      <left/>
      <right style="thin">
        <color theme="1"/>
      </right>
      <top style="hair">
        <color theme="0" tint="-0.499984740745262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 style="thin">
        <color theme="1"/>
      </top>
      <bottom style="dotted">
        <color theme="1"/>
      </bottom>
      <diagonal/>
    </border>
    <border>
      <left style="thin">
        <color theme="1"/>
      </left>
      <right style="thin">
        <color theme="1"/>
      </right>
      <top style="hair">
        <color theme="0" tint="-0.499984740745262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hair">
        <color theme="0" tint="-0.499984740745262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hair">
        <color theme="0" tint="-0.499984740745262"/>
      </bottom>
      <diagonal/>
    </border>
  </borders>
  <cellStyleXfs count="1">
    <xf numFmtId="0" fontId="0" fillId="0" borderId="0"/>
  </cellStyleXfs>
  <cellXfs count="111">
    <xf numFmtId="0" fontId="0" fillId="0" borderId="0" xfId="0"/>
    <xf numFmtId="49" fontId="1" fillId="0" borderId="0" xfId="0" applyNumberFormat="1" applyFont="1" applyFill="1" applyBorder="1" applyAlignment="1">
      <alignment horizontal="right" vertical="center"/>
    </xf>
    <xf numFmtId="0" fontId="3" fillId="0" borderId="0" xfId="0" applyFont="1"/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4" fontId="1" fillId="0" borderId="0" xfId="0" applyNumberFormat="1" applyFont="1" applyFill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4" fontId="1" fillId="0" borderId="0" xfId="0" applyNumberFormat="1" applyFont="1" applyFill="1" applyBorder="1" applyAlignment="1">
      <alignment vertical="center"/>
    </xf>
    <xf numFmtId="1" fontId="1" fillId="2" borderId="2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1" fontId="7" fillId="2" borderId="2" xfId="0" applyNumberFormat="1" applyFont="1" applyFill="1" applyBorder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164" fontId="4" fillId="0" borderId="0" xfId="0" applyNumberFormat="1" applyFont="1"/>
    <xf numFmtId="164" fontId="5" fillId="0" borderId="11" xfId="0" applyNumberFormat="1" applyFont="1" applyFill="1" applyBorder="1" applyAlignment="1">
      <alignment horizontal="center" vertical="center"/>
    </xf>
    <xf numFmtId="164" fontId="4" fillId="0" borderId="15" xfId="0" applyNumberFormat="1" applyFont="1" applyFill="1" applyBorder="1" applyAlignment="1">
      <alignment horizontal="center" vertical="center"/>
    </xf>
    <xf numFmtId="164" fontId="4" fillId="5" borderId="12" xfId="0" applyNumberFormat="1" applyFont="1" applyFill="1" applyBorder="1" applyAlignment="1">
      <alignment horizontal="center" vertical="center"/>
    </xf>
    <xf numFmtId="164" fontId="4" fillId="5" borderId="4" xfId="0" applyNumberFormat="1" applyFont="1" applyFill="1" applyBorder="1" applyAlignment="1">
      <alignment horizontal="center" vertical="center"/>
    </xf>
    <xf numFmtId="164" fontId="4" fillId="4" borderId="12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5" borderId="10" xfId="0" applyNumberFormat="1" applyFont="1" applyFill="1" applyBorder="1" applyAlignment="1">
      <alignment horizontal="center"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0" borderId="17" xfId="0" applyNumberFormat="1" applyFont="1" applyFill="1" applyBorder="1" applyAlignment="1">
      <alignment horizontal="center" vertical="center"/>
    </xf>
    <xf numFmtId="164" fontId="4" fillId="0" borderId="18" xfId="0" applyNumberFormat="1" applyFont="1" applyFill="1" applyBorder="1" applyAlignment="1">
      <alignment horizontal="center" vertical="center"/>
    </xf>
    <xf numFmtId="1" fontId="1" fillId="2" borderId="21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 vertical="center"/>
    </xf>
    <xf numFmtId="164" fontId="4" fillId="4" borderId="23" xfId="0" applyNumberFormat="1" applyFont="1" applyFill="1" applyBorder="1" applyAlignment="1">
      <alignment horizontal="center" vertical="center"/>
    </xf>
    <xf numFmtId="0" fontId="4" fillId="0" borderId="0" xfId="0" applyFont="1"/>
    <xf numFmtId="164" fontId="8" fillId="0" borderId="16" xfId="0" applyNumberFormat="1" applyFont="1" applyFill="1" applyBorder="1" applyAlignment="1">
      <alignment horizontal="center" vertical="center"/>
    </xf>
    <xf numFmtId="166" fontId="4" fillId="0" borderId="25" xfId="0" applyNumberFormat="1" applyFont="1" applyFill="1" applyBorder="1" applyAlignment="1">
      <alignment horizontal="right" vertical="center"/>
    </xf>
    <xf numFmtId="166" fontId="4" fillId="0" borderId="19" xfId="0" applyNumberFormat="1" applyFont="1" applyFill="1" applyBorder="1" applyAlignment="1">
      <alignment horizontal="right" vertical="center"/>
    </xf>
    <xf numFmtId="166" fontId="4" fillId="0" borderId="24" xfId="0" applyNumberFormat="1" applyFont="1" applyFill="1" applyBorder="1" applyAlignment="1">
      <alignment horizontal="right" vertical="center"/>
    </xf>
    <xf numFmtId="166" fontId="4" fillId="4" borderId="19" xfId="0" applyNumberFormat="1" applyFont="1" applyFill="1" applyBorder="1" applyAlignment="1">
      <alignment horizontal="right" vertical="center"/>
    </xf>
    <xf numFmtId="0" fontId="4" fillId="0" borderId="15" xfId="0" applyNumberFormat="1" applyFont="1" applyFill="1" applyBorder="1" applyAlignment="1">
      <alignment horizontal="center" vertical="center"/>
    </xf>
    <xf numFmtId="0" fontId="4" fillId="3" borderId="5" xfId="0" applyNumberFormat="1" applyFont="1" applyFill="1" applyBorder="1" applyAlignment="1">
      <alignment horizontal="center" vertical="center"/>
    </xf>
    <xf numFmtId="2" fontId="4" fillId="5" borderId="12" xfId="0" applyNumberFormat="1" applyFont="1" applyFill="1" applyBorder="1" applyAlignment="1">
      <alignment horizontal="center" vertical="center"/>
    </xf>
    <xf numFmtId="2" fontId="4" fillId="5" borderId="1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right" vertical="center"/>
    </xf>
    <xf numFmtId="4" fontId="2" fillId="0" borderId="0" xfId="0" applyNumberFormat="1" applyFont="1" applyFill="1" applyBorder="1" applyAlignment="1">
      <alignment horizontal="center" vertical="center"/>
    </xf>
    <xf numFmtId="1" fontId="1" fillId="2" borderId="13" xfId="0" applyNumberFormat="1" applyFont="1" applyFill="1" applyBorder="1" applyAlignment="1">
      <alignment horizontal="center" vertical="center"/>
    </xf>
    <xf numFmtId="1" fontId="7" fillId="2" borderId="13" xfId="0" applyNumberFormat="1" applyFont="1" applyFill="1" applyBorder="1" applyAlignment="1">
      <alignment horizontal="center" vertical="center"/>
    </xf>
    <xf numFmtId="1" fontId="7" fillId="2" borderId="20" xfId="0" applyNumberFormat="1" applyFont="1" applyFill="1" applyBorder="1" applyAlignment="1">
      <alignment horizontal="center" vertical="center"/>
    </xf>
    <xf numFmtId="1" fontId="1" fillId="2" borderId="20" xfId="0" applyNumberFormat="1" applyFont="1" applyFill="1" applyBorder="1" applyAlignment="1">
      <alignment horizontal="center" vertical="center"/>
    </xf>
    <xf numFmtId="171" fontId="4" fillId="4" borderId="12" xfId="0" applyNumberFormat="1" applyFont="1" applyFill="1" applyBorder="1" applyAlignment="1">
      <alignment horizontal="center" vertical="center"/>
    </xf>
    <xf numFmtId="171" fontId="4" fillId="4" borderId="23" xfId="0" applyNumberFormat="1" applyFont="1" applyFill="1" applyBorder="1" applyAlignment="1">
      <alignment horizontal="center" vertical="center"/>
    </xf>
    <xf numFmtId="164" fontId="11" fillId="0" borderId="19" xfId="0" applyNumberFormat="1" applyFont="1" applyFill="1" applyBorder="1" applyAlignment="1">
      <alignment horizontal="right" vertical="center"/>
    </xf>
    <xf numFmtId="166" fontId="11" fillId="0" borderId="25" xfId="0" applyNumberFormat="1" applyFont="1" applyFill="1" applyBorder="1" applyAlignment="1">
      <alignment horizontal="right" vertical="center"/>
    </xf>
    <xf numFmtId="166" fontId="11" fillId="0" borderId="26" xfId="0" applyNumberFormat="1" applyFont="1" applyFill="1" applyBorder="1" applyAlignment="1">
      <alignment horizontal="right" vertical="center"/>
    </xf>
    <xf numFmtId="164" fontId="11" fillId="2" borderId="19" xfId="0" applyNumberFormat="1" applyFont="1" applyFill="1" applyBorder="1" applyAlignment="1">
      <alignment horizontal="right" vertical="center"/>
    </xf>
    <xf numFmtId="166" fontId="4" fillId="2" borderId="25" xfId="0" applyNumberFormat="1" applyFont="1" applyFill="1" applyBorder="1" applyAlignment="1">
      <alignment horizontal="right" vertical="center"/>
    </xf>
    <xf numFmtId="166" fontId="11" fillId="2" borderId="26" xfId="0" applyNumberFormat="1" applyFont="1" applyFill="1" applyBorder="1" applyAlignment="1">
      <alignment horizontal="right" vertical="center"/>
    </xf>
    <xf numFmtId="166" fontId="4" fillId="2" borderId="24" xfId="0" applyNumberFormat="1" applyFont="1" applyFill="1" applyBorder="1" applyAlignment="1">
      <alignment horizontal="right" vertical="center"/>
    </xf>
    <xf numFmtId="166" fontId="4" fillId="5" borderId="19" xfId="0" applyNumberFormat="1" applyFont="1" applyFill="1" applyBorder="1" applyAlignment="1">
      <alignment horizontal="right" vertical="center"/>
    </xf>
    <xf numFmtId="2" fontId="8" fillId="4" borderId="12" xfId="0" applyNumberFormat="1" applyFont="1" applyFill="1" applyBorder="1" applyAlignment="1">
      <alignment horizontal="center" vertical="center"/>
    </xf>
    <xf numFmtId="2" fontId="8" fillId="4" borderId="4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2" fontId="8" fillId="5" borderId="4" xfId="0" applyNumberFormat="1" applyFont="1" applyFill="1" applyBorder="1" applyAlignment="1">
      <alignment horizontal="center" vertical="center"/>
    </xf>
    <xf numFmtId="2" fontId="8" fillId="5" borderId="10" xfId="0" applyNumberFormat="1" applyFont="1" applyFill="1" applyBorder="1" applyAlignment="1">
      <alignment horizontal="center" vertical="center"/>
    </xf>
    <xf numFmtId="49" fontId="7" fillId="0" borderId="0" xfId="0" applyNumberFormat="1" applyFont="1" applyFill="1" applyBorder="1" applyAlignment="1">
      <alignment horizontal="right" vertical="center"/>
    </xf>
    <xf numFmtId="4" fontId="7" fillId="0" borderId="0" xfId="0" applyNumberFormat="1" applyFont="1" applyFill="1" applyBorder="1" applyAlignment="1">
      <alignment horizontal="center" vertical="center"/>
    </xf>
    <xf numFmtId="0" fontId="12" fillId="4" borderId="12" xfId="0" applyNumberFormat="1" applyFont="1" applyFill="1" applyBorder="1" applyAlignment="1">
      <alignment vertical="center"/>
    </xf>
    <xf numFmtId="0" fontId="12" fillId="4" borderId="4" xfId="0" applyNumberFormat="1" applyFont="1" applyFill="1" applyBorder="1" applyAlignment="1">
      <alignment vertical="center"/>
    </xf>
    <xf numFmtId="0" fontId="12" fillId="5" borderId="12" xfId="0" applyNumberFormat="1" applyFont="1" applyFill="1" applyBorder="1" applyAlignment="1">
      <alignment vertical="center"/>
    </xf>
    <xf numFmtId="0" fontId="12" fillId="5" borderId="4" xfId="0" applyNumberFormat="1" applyFont="1" applyFill="1" applyBorder="1" applyAlignment="1">
      <alignment vertical="center"/>
    </xf>
    <xf numFmtId="0" fontId="12" fillId="5" borderId="10" xfId="0" applyNumberFormat="1" applyFont="1" applyFill="1" applyBorder="1" applyAlignment="1">
      <alignment vertical="center"/>
    </xf>
    <xf numFmtId="0" fontId="8" fillId="0" borderId="14" xfId="0" applyNumberFormat="1" applyFont="1" applyFill="1" applyBorder="1" applyAlignment="1">
      <alignment horizontal="center" vertical="center"/>
    </xf>
    <xf numFmtId="0" fontId="8" fillId="3" borderId="4" xfId="0" applyNumberFormat="1" applyFont="1" applyFill="1" applyBorder="1" applyAlignment="1">
      <alignment horizontal="center" vertical="center"/>
    </xf>
    <xf numFmtId="0" fontId="8" fillId="0" borderId="0" xfId="0" applyFont="1"/>
    <xf numFmtId="0" fontId="7" fillId="0" borderId="0" xfId="0" applyFont="1" applyAlignment="1">
      <alignment vertical="center"/>
    </xf>
    <xf numFmtId="49" fontId="13" fillId="6" borderId="3" xfId="0" applyNumberFormat="1" applyFont="1" applyFill="1" applyBorder="1" applyAlignment="1">
      <alignment horizontal="center" vertical="center" wrapText="1"/>
    </xf>
    <xf numFmtId="49" fontId="14" fillId="2" borderId="6" xfId="0" applyNumberFormat="1" applyFont="1" applyFill="1" applyBorder="1" applyAlignment="1">
      <alignment horizontal="center" vertical="center" wrapText="1"/>
    </xf>
    <xf numFmtId="166" fontId="15" fillId="0" borderId="26" xfId="0" applyNumberFormat="1" applyFont="1" applyFill="1" applyBorder="1" applyAlignment="1">
      <alignment horizontal="right" vertical="center"/>
    </xf>
    <xf numFmtId="166" fontId="15" fillId="2" borderId="26" xfId="0" applyNumberFormat="1" applyFont="1" applyFill="1" applyBorder="1" applyAlignment="1">
      <alignment horizontal="right" vertical="center"/>
    </xf>
    <xf numFmtId="166" fontId="8" fillId="2" borderId="24" xfId="0" applyNumberFormat="1" applyFont="1" applyFill="1" applyBorder="1" applyAlignment="1">
      <alignment horizontal="right" vertical="center"/>
    </xf>
    <xf numFmtId="4" fontId="4" fillId="5" borderId="12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center"/>
    </xf>
    <xf numFmtId="4" fontId="4" fillId="5" borderId="10" xfId="0" applyNumberFormat="1" applyFont="1" applyFill="1" applyBorder="1" applyAlignment="1">
      <alignment horizontal="center" vertical="center"/>
    </xf>
    <xf numFmtId="166" fontId="16" fillId="4" borderId="19" xfId="0" applyNumberFormat="1" applyFont="1" applyFill="1" applyBorder="1" applyAlignment="1">
      <alignment horizontal="right" vertical="center"/>
    </xf>
    <xf numFmtId="166" fontId="16" fillId="5" borderId="19" xfId="0" applyNumberFormat="1" applyFont="1" applyFill="1" applyBorder="1" applyAlignment="1">
      <alignment horizontal="right" vertical="center"/>
    </xf>
    <xf numFmtId="166" fontId="17" fillId="5" borderId="19" xfId="0" applyNumberFormat="1" applyFont="1" applyFill="1" applyBorder="1" applyAlignment="1">
      <alignment horizontal="right" vertical="center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2" borderId="6" xfId="0" applyNumberFormat="1" applyFont="1" applyFill="1" applyBorder="1" applyAlignment="1">
      <alignment horizontal="center" vertical="center" wrapText="1"/>
    </xf>
    <xf numFmtId="0" fontId="2" fillId="2" borderId="7" xfId="0" applyNumberFormat="1" applyFont="1" applyFill="1" applyBorder="1" applyAlignment="1">
      <alignment horizontal="center" vertical="center" wrapText="1"/>
    </xf>
    <xf numFmtId="0" fontId="2" fillId="2" borderId="8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>
      <alignment horizontal="center" vertical="center" wrapText="1"/>
    </xf>
    <xf numFmtId="0" fontId="2" fillId="2" borderId="9" xfId="0" applyNumberFormat="1" applyFont="1" applyFill="1" applyBorder="1" applyAlignment="1">
      <alignment horizontal="center" vertical="center" wrapText="1"/>
    </xf>
    <xf numFmtId="4" fontId="2" fillId="2" borderId="3" xfId="0" applyNumberFormat="1" applyFont="1" applyFill="1" applyBorder="1" applyAlignment="1">
      <alignment horizontal="center" vertical="center" wrapText="1"/>
    </xf>
    <xf numFmtId="4" fontId="2" fillId="2" borderId="6" xfId="0" applyNumberFormat="1" applyFont="1" applyFill="1" applyBorder="1" applyAlignment="1">
      <alignment horizontal="center" vertical="center" wrapText="1"/>
    </xf>
    <xf numFmtId="4" fontId="9" fillId="2" borderId="3" xfId="0" applyNumberFormat="1" applyFont="1" applyFill="1" applyBorder="1" applyAlignment="1">
      <alignment horizontal="center" vertical="center" wrapText="1"/>
    </xf>
    <xf numFmtId="4" fontId="9" fillId="2" borderId="6" xfId="0" applyNumberFormat="1" applyFont="1" applyFill="1" applyBorder="1" applyAlignment="1">
      <alignment horizontal="center" vertical="center" wrapText="1"/>
    </xf>
    <xf numFmtId="0" fontId="8" fillId="0" borderId="15" xfId="0" applyNumberFormat="1" applyFont="1" applyFill="1" applyBorder="1" applyAlignment="1">
      <alignment horizontal="center" vertical="center"/>
    </xf>
    <xf numFmtId="0" fontId="8" fillId="3" borderId="5" xfId="0" applyNumberFormat="1" applyFont="1" applyFill="1" applyBorder="1" applyAlignment="1">
      <alignment horizontal="center" vertical="center"/>
    </xf>
    <xf numFmtId="49" fontId="7" fillId="0" borderId="0" xfId="0" applyNumberFormat="1" applyFont="1" applyFill="1" applyBorder="1" applyAlignment="1">
      <alignment horizontal="center" vertical="center"/>
    </xf>
    <xf numFmtId="0" fontId="12" fillId="4" borderId="12" xfId="0" applyNumberFormat="1" applyFont="1" applyFill="1" applyBorder="1" applyAlignment="1">
      <alignment horizontal="center" vertical="center"/>
    </xf>
    <xf numFmtId="0" fontId="12" fillId="4" borderId="4" xfId="0" applyNumberFormat="1" applyFont="1" applyFill="1" applyBorder="1" applyAlignment="1">
      <alignment horizontal="center" vertical="center"/>
    </xf>
    <xf numFmtId="0" fontId="12" fillId="5" borderId="12" xfId="0" applyNumberFormat="1" applyFont="1" applyFill="1" applyBorder="1" applyAlignment="1">
      <alignment horizontal="center" vertical="center"/>
    </xf>
    <xf numFmtId="0" fontId="12" fillId="5" borderId="4" xfId="0" applyNumberFormat="1" applyFont="1" applyFill="1" applyBorder="1" applyAlignment="1">
      <alignment horizontal="center" vertical="center"/>
    </xf>
    <xf numFmtId="0" fontId="12" fillId="5" borderId="10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4" borderId="12" xfId="0" applyNumberFormat="1" applyFont="1" applyFill="1" applyBorder="1" applyAlignment="1">
      <alignment horizontal="center" vertical="center" wrapText="1"/>
    </xf>
    <xf numFmtId="4" fontId="4" fillId="8" borderId="14" xfId="0" applyNumberFormat="1" applyFont="1" applyFill="1" applyBorder="1" applyAlignment="1">
      <alignment horizontal="center" vertical="center"/>
    </xf>
    <xf numFmtId="4" fontId="4" fillId="7" borderId="14" xfId="0" applyNumberFormat="1" applyFont="1" applyFill="1" applyBorder="1" applyAlignment="1">
      <alignment horizontal="center" vertical="center"/>
    </xf>
    <xf numFmtId="4" fontId="4" fillId="8" borderId="14" xfId="0" applyNumberFormat="1" applyFont="1" applyFill="1" applyBorder="1" applyAlignment="1">
      <alignment horizontal="right" vertical="center"/>
    </xf>
    <xf numFmtId="165" fontId="8" fillId="8" borderId="22" xfId="0" applyNumberFormat="1" applyFont="1" applyFill="1" applyBorder="1" applyAlignment="1">
      <alignment horizontal="center" vertical="center" wrapText="1"/>
    </xf>
    <xf numFmtId="165" fontId="8" fillId="7" borderId="22" xfId="0" applyNumberFormat="1" applyFont="1" applyFill="1" applyBorder="1" applyAlignment="1">
      <alignment horizontal="center" vertical="center" wrapText="1"/>
    </xf>
    <xf numFmtId="165" fontId="8" fillId="8" borderId="6" xfId="0" applyNumberFormat="1" applyFont="1" applyFill="1" applyBorder="1" applyAlignment="1">
      <alignment horizontal="center" vertical="center" wrapText="1"/>
    </xf>
    <xf numFmtId="165" fontId="8" fillId="7" borderId="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noFill/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28575">
          <a:solidFill>
            <a:schemeClr val="accent1">
              <a:lumMod val="75000"/>
            </a:schemeClr>
          </a:solidFill>
          <a:tailEnd type="arrow"/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D78"/>
  <sheetViews>
    <sheetView tabSelected="1" showWhiteSpace="0" view="pageLayout" zoomScale="85" zoomScaleNormal="115" zoomScalePageLayoutView="85" workbookViewId="0">
      <selection activeCell="AS68" sqref="AS68"/>
    </sheetView>
  </sheetViews>
  <sheetFormatPr baseColWidth="10" defaultColWidth="7" defaultRowHeight="17.25" customHeight="1" x14ac:dyDescent="0.3"/>
  <cols>
    <col min="1" max="1" width="0.28515625" style="6" customWidth="1"/>
    <col min="2" max="2" width="2.42578125" style="6" hidden="1" customWidth="1"/>
    <col min="3" max="17" width="3.140625" style="5" hidden="1" customWidth="1"/>
    <col min="18" max="19" width="4.5703125" style="7" hidden="1" customWidth="1"/>
    <col min="20" max="32" width="4.5703125" style="5" hidden="1" customWidth="1"/>
    <col min="33" max="38" width="2.42578125" style="6" hidden="1" customWidth="1"/>
    <col min="39" max="39" width="19.28515625" style="63" customWidth="1"/>
    <col min="40" max="40" width="5.28515625" style="63" customWidth="1"/>
    <col min="41" max="41" width="6.140625" style="42" customWidth="1"/>
    <col min="42" max="42" width="6.42578125" style="5" customWidth="1"/>
    <col min="43" max="45" width="6.28515625" style="5" customWidth="1"/>
    <col min="46" max="46" width="6.42578125" style="5" customWidth="1"/>
    <col min="47" max="48" width="6.28515625" style="5" customWidth="1"/>
    <col min="49" max="49" width="6.7109375" style="5" customWidth="1"/>
    <col min="50" max="50" width="6.28515625" style="5" customWidth="1"/>
    <col min="51" max="51" width="6.7109375" style="5" customWidth="1"/>
    <col min="52" max="57" width="6.28515625" style="5" customWidth="1"/>
    <col min="58" max="61" width="0.28515625" style="2" customWidth="1"/>
    <col min="62" max="62" width="0.5703125" style="2" customWidth="1"/>
    <col min="63" max="63" width="6.28515625" style="7" customWidth="1"/>
    <col min="64" max="77" width="6.28515625" style="5" customWidth="1"/>
    <col min="78" max="78" width="2.5703125" style="5" customWidth="1"/>
    <col min="79" max="79" width="10.42578125" style="5" customWidth="1"/>
    <col min="80" max="80" width="9.140625" style="5" customWidth="1"/>
    <col min="81" max="81" width="8.85546875" style="5" customWidth="1"/>
    <col min="82" max="82" width="8.140625" style="5" customWidth="1"/>
    <col min="83" max="85" width="0.28515625" style="6" customWidth="1"/>
    <col min="86" max="94" width="0.28515625" style="4" customWidth="1"/>
    <col min="95" max="95" width="7" style="4"/>
    <col min="96" max="96" width="11.140625" style="4" customWidth="1"/>
    <col min="97" max="162" width="7" style="4"/>
    <col min="163" max="16384" width="7" style="6"/>
  </cols>
  <sheetData>
    <row r="1" spans="3:186" s="3" customFormat="1" ht="3" customHeight="1" x14ac:dyDescent="0.3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M1" s="62"/>
      <c r="AN1" s="96"/>
      <c r="AO1" s="4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2"/>
      <c r="BG1" s="2"/>
      <c r="BH1" s="2"/>
      <c r="BI1" s="2"/>
      <c r="BJ1" s="2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</row>
    <row r="2" spans="3:186" ht="1.1499999999999999" customHeight="1" x14ac:dyDescent="0.3"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2"/>
      <c r="EE2" s="2"/>
      <c r="EF2" s="2"/>
      <c r="EG2" s="2"/>
      <c r="EH2" s="2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U2" s="4"/>
      <c r="FV2" s="4"/>
      <c r="FW2" s="4"/>
      <c r="FX2" s="4"/>
      <c r="FY2" s="4"/>
      <c r="FZ2" s="4"/>
      <c r="GA2" s="4"/>
      <c r="GB2" s="4"/>
      <c r="GC2" s="4"/>
      <c r="GD2" s="72"/>
    </row>
    <row r="3" spans="3:186" ht="1.1499999999999999" customHeight="1" x14ac:dyDescent="0.3"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2"/>
      <c r="EE3" s="2"/>
      <c r="EF3" s="2"/>
      <c r="EG3" s="2"/>
      <c r="EH3" s="2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U3" s="4"/>
      <c r="FV3" s="4"/>
      <c r="FW3" s="4"/>
      <c r="FX3" s="4"/>
      <c r="FY3" s="4"/>
      <c r="FZ3" s="4"/>
      <c r="GA3" s="4"/>
      <c r="GB3" s="4"/>
      <c r="GC3" s="4"/>
      <c r="GD3" s="72"/>
    </row>
    <row r="4" spans="3:186" ht="1.1499999999999999" customHeight="1" x14ac:dyDescent="0.3"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2"/>
      <c r="EE4" s="2"/>
      <c r="EF4" s="2"/>
      <c r="EG4" s="2"/>
      <c r="EH4" s="2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U4" s="4"/>
      <c r="FV4" s="4"/>
      <c r="FW4" s="4"/>
      <c r="FX4" s="4"/>
      <c r="FY4" s="4"/>
      <c r="FZ4" s="4"/>
      <c r="GA4" s="4"/>
      <c r="GB4" s="4"/>
      <c r="GC4" s="4"/>
      <c r="GD4" s="72"/>
    </row>
    <row r="5" spans="3:186" ht="1.1499999999999999" customHeight="1" x14ac:dyDescent="0.3"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2"/>
      <c r="EE5" s="2"/>
      <c r="EF5" s="2"/>
      <c r="EG5" s="2"/>
      <c r="EH5" s="2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U5" s="4"/>
      <c r="FV5" s="4"/>
      <c r="FW5" s="4"/>
      <c r="FX5" s="4"/>
      <c r="FY5" s="4"/>
      <c r="FZ5" s="4"/>
      <c r="GA5" s="4"/>
      <c r="GB5" s="4"/>
      <c r="GC5" s="4"/>
      <c r="GD5" s="72"/>
    </row>
    <row r="6" spans="3:186" ht="1.1499999999999999" customHeight="1" x14ac:dyDescent="0.3"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2"/>
      <c r="EE6" s="2"/>
      <c r="EF6" s="2"/>
      <c r="EG6" s="2"/>
      <c r="EH6" s="2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U6" s="4"/>
      <c r="FV6" s="4"/>
      <c r="FW6" s="4"/>
      <c r="FX6" s="4"/>
      <c r="FY6" s="4"/>
      <c r="FZ6" s="4"/>
      <c r="GA6" s="4"/>
      <c r="GB6" s="4"/>
      <c r="GC6" s="4"/>
      <c r="GD6" s="72"/>
    </row>
    <row r="7" spans="3:186" ht="1.1499999999999999" customHeight="1" x14ac:dyDescent="0.3"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2"/>
      <c r="EE7" s="2"/>
      <c r="EF7" s="2"/>
      <c r="EG7" s="2"/>
      <c r="EH7" s="2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U7" s="4"/>
      <c r="FV7" s="4"/>
      <c r="FW7" s="4"/>
      <c r="FX7" s="4"/>
      <c r="FY7" s="4"/>
      <c r="FZ7" s="4"/>
      <c r="GA7" s="4"/>
      <c r="GB7" s="4"/>
      <c r="GC7" s="4"/>
      <c r="GD7" s="72"/>
    </row>
    <row r="8" spans="3:186" ht="1.1499999999999999" customHeight="1" x14ac:dyDescent="0.3"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2"/>
      <c r="EE8" s="2"/>
      <c r="EF8" s="2"/>
      <c r="EG8" s="2"/>
      <c r="EH8" s="2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U8" s="4"/>
      <c r="FV8" s="4"/>
      <c r="FW8" s="4"/>
      <c r="FX8" s="4"/>
      <c r="FY8" s="4"/>
      <c r="FZ8" s="4"/>
      <c r="GA8" s="4"/>
      <c r="GB8" s="4"/>
      <c r="GC8" s="4"/>
      <c r="GD8" s="72"/>
    </row>
    <row r="9" spans="3:186" ht="1.1499999999999999" customHeight="1" x14ac:dyDescent="0.3"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2"/>
      <c r="EE9" s="2"/>
      <c r="EF9" s="2"/>
      <c r="EG9" s="2"/>
      <c r="EH9" s="2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U9" s="4"/>
      <c r="FV9" s="4"/>
      <c r="FW9" s="4"/>
      <c r="FX9" s="4"/>
      <c r="FY9" s="4"/>
      <c r="FZ9" s="4"/>
      <c r="GA9" s="4"/>
      <c r="GB9" s="4"/>
      <c r="GC9" s="4"/>
      <c r="GD9" s="72"/>
    </row>
    <row r="10" spans="3:186" ht="1.1499999999999999" customHeight="1" x14ac:dyDescent="0.3"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2"/>
      <c r="EE10" s="2"/>
      <c r="EF10" s="2"/>
      <c r="EG10" s="2"/>
      <c r="EH10" s="2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U10" s="4"/>
      <c r="FV10" s="4"/>
      <c r="FW10" s="4"/>
      <c r="FX10" s="4"/>
      <c r="FY10" s="4"/>
      <c r="FZ10" s="4"/>
      <c r="GA10" s="4"/>
      <c r="GB10" s="4"/>
      <c r="GC10" s="4"/>
      <c r="GD10" s="72"/>
    </row>
    <row r="11" spans="3:186" ht="1.1499999999999999" customHeight="1" x14ac:dyDescent="0.3"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2"/>
      <c r="EE11" s="2"/>
      <c r="EF11" s="2"/>
      <c r="EG11" s="2"/>
      <c r="EH11" s="2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U11" s="4"/>
      <c r="FV11" s="4"/>
      <c r="FW11" s="4"/>
      <c r="FX11" s="4"/>
      <c r="FY11" s="4"/>
      <c r="FZ11" s="4"/>
      <c r="GA11" s="4"/>
      <c r="GB11" s="4"/>
      <c r="GC11" s="4"/>
      <c r="GD11" s="72"/>
    </row>
    <row r="12" spans="3:186" ht="1.1499999999999999" customHeight="1" x14ac:dyDescent="0.3"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2"/>
      <c r="EE12" s="2"/>
      <c r="EF12" s="2"/>
      <c r="EG12" s="2"/>
      <c r="EH12" s="2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U12" s="4"/>
      <c r="FV12" s="4"/>
      <c r="FW12" s="4"/>
      <c r="FX12" s="4"/>
      <c r="FY12" s="4"/>
      <c r="FZ12" s="4"/>
      <c r="GA12" s="4"/>
      <c r="GB12" s="4"/>
      <c r="GC12" s="4"/>
      <c r="GD12" s="72"/>
    </row>
    <row r="13" spans="3:186" ht="1.1499999999999999" customHeight="1" x14ac:dyDescent="0.3"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2"/>
      <c r="EE13" s="2"/>
      <c r="EF13" s="2"/>
      <c r="EG13" s="2"/>
      <c r="EH13" s="2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U13" s="4"/>
      <c r="FV13" s="4"/>
      <c r="FW13" s="4"/>
      <c r="FX13" s="4"/>
      <c r="FY13" s="4"/>
      <c r="FZ13" s="4"/>
      <c r="GA13" s="4"/>
      <c r="GB13" s="4"/>
      <c r="GC13" s="4"/>
      <c r="GD13" s="72"/>
    </row>
    <row r="14" spans="3:186" ht="1.1499999999999999" customHeight="1" x14ac:dyDescent="0.3"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2"/>
      <c r="EE14" s="2"/>
      <c r="EF14" s="2"/>
      <c r="EG14" s="2"/>
      <c r="EH14" s="2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U14" s="4"/>
      <c r="FV14" s="4"/>
      <c r="FW14" s="4"/>
      <c r="FX14" s="4"/>
      <c r="FY14" s="4"/>
      <c r="FZ14" s="4"/>
      <c r="GA14" s="4"/>
      <c r="GB14" s="4"/>
      <c r="GC14" s="4"/>
      <c r="GD14" s="72"/>
    </row>
    <row r="15" spans="3:186" ht="1.1499999999999999" customHeight="1" x14ac:dyDescent="0.3"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2"/>
      <c r="EE15" s="2"/>
      <c r="EF15" s="2"/>
      <c r="EG15" s="2"/>
      <c r="EH15" s="2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U15" s="4"/>
      <c r="FV15" s="4"/>
      <c r="FW15" s="4"/>
      <c r="FX15" s="4"/>
      <c r="FY15" s="4"/>
      <c r="FZ15" s="4"/>
      <c r="GA15" s="4"/>
      <c r="GB15" s="4"/>
      <c r="GC15" s="4"/>
      <c r="GD15" s="72"/>
    </row>
    <row r="16" spans="3:186" ht="1.1499999999999999" customHeight="1" x14ac:dyDescent="0.3"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2"/>
      <c r="EE16" s="2"/>
      <c r="EF16" s="2"/>
      <c r="EG16" s="2"/>
      <c r="EH16" s="2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U16" s="4"/>
      <c r="FV16" s="4"/>
      <c r="FW16" s="4"/>
      <c r="FX16" s="4"/>
      <c r="FY16" s="4"/>
      <c r="FZ16" s="4"/>
      <c r="GA16" s="4"/>
      <c r="GB16" s="4"/>
      <c r="GC16" s="4"/>
      <c r="GD16" s="72"/>
    </row>
    <row r="17" spans="3:186" ht="1.1499999999999999" customHeight="1" x14ac:dyDescent="0.3"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2"/>
      <c r="EE17" s="2"/>
      <c r="EF17" s="2"/>
      <c r="EG17" s="2"/>
      <c r="EH17" s="2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U17" s="4"/>
      <c r="FV17" s="4"/>
      <c r="FW17" s="4"/>
      <c r="FX17" s="4"/>
      <c r="FY17" s="4"/>
      <c r="FZ17" s="4"/>
      <c r="GA17" s="4"/>
      <c r="GB17" s="4"/>
      <c r="GC17" s="4"/>
      <c r="GD17" s="72"/>
    </row>
    <row r="18" spans="3:186" ht="1.1499999999999999" customHeight="1" x14ac:dyDescent="0.3"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2"/>
      <c r="EE18" s="2"/>
      <c r="EF18" s="2"/>
      <c r="EG18" s="2"/>
      <c r="EH18" s="2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U18" s="4"/>
      <c r="FV18" s="4"/>
      <c r="FW18" s="4"/>
      <c r="FX18" s="4"/>
      <c r="FY18" s="4"/>
      <c r="FZ18" s="4"/>
      <c r="GA18" s="4"/>
      <c r="GB18" s="4"/>
      <c r="GC18" s="4"/>
      <c r="GD18" s="72"/>
    </row>
    <row r="19" spans="3:186" ht="1.1499999999999999" customHeight="1" x14ac:dyDescent="0.3"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2"/>
      <c r="EE19" s="2"/>
      <c r="EF19" s="2"/>
      <c r="EG19" s="2"/>
      <c r="EH19" s="2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U19" s="4"/>
      <c r="FV19" s="4"/>
      <c r="FW19" s="4"/>
      <c r="FX19" s="4"/>
      <c r="FY19" s="4"/>
      <c r="FZ19" s="4"/>
      <c r="GA19" s="4"/>
      <c r="GB19" s="4"/>
      <c r="GC19" s="4"/>
      <c r="GD19" s="72"/>
    </row>
    <row r="20" spans="3:186" ht="1.5" customHeight="1" x14ac:dyDescent="0.3">
      <c r="R20" s="5"/>
      <c r="S20" s="5"/>
      <c r="BK20" s="5"/>
    </row>
    <row r="21" spans="3:186" ht="1.5" customHeight="1" x14ac:dyDescent="0.3">
      <c r="R21" s="5"/>
      <c r="S21" s="5"/>
      <c r="BK21" s="5"/>
    </row>
    <row r="22" spans="3:186" s="3" customFormat="1" ht="28.5" customHeight="1" x14ac:dyDescent="0.3">
      <c r="C22" s="8"/>
      <c r="D22" s="8"/>
      <c r="E22" s="8"/>
      <c r="F22" s="8"/>
      <c r="G22" s="8"/>
      <c r="H22" s="43"/>
      <c r="I22" s="46"/>
      <c r="J22" s="28"/>
      <c r="K22" s="28"/>
      <c r="L22" s="28"/>
      <c r="M22" s="28"/>
      <c r="N22" s="28"/>
      <c r="O22" s="28"/>
      <c r="P22" s="28"/>
      <c r="Q22" s="28"/>
      <c r="R22" s="8"/>
      <c r="S22" s="8"/>
      <c r="T22" s="8"/>
      <c r="U22" s="8"/>
      <c r="V22" s="43"/>
      <c r="W22" s="43"/>
      <c r="X22" s="8"/>
      <c r="Y22" s="8"/>
      <c r="Z22" s="8"/>
      <c r="AA22" s="8"/>
      <c r="AB22" s="8"/>
      <c r="AC22" s="43"/>
      <c r="AD22" s="43"/>
      <c r="AE22" s="8"/>
      <c r="AF22" s="8"/>
      <c r="AM22" s="73" t="s">
        <v>14</v>
      </c>
      <c r="AN22" s="103"/>
      <c r="AO22" s="84" t="s">
        <v>13</v>
      </c>
      <c r="AP22" s="8">
        <v>1</v>
      </c>
      <c r="AQ22" s="8">
        <v>2</v>
      </c>
      <c r="AR22" s="8">
        <v>3</v>
      </c>
      <c r="AS22" s="8">
        <v>4</v>
      </c>
      <c r="AT22" s="8">
        <v>5</v>
      </c>
      <c r="AU22" s="8">
        <v>6</v>
      </c>
      <c r="AV22" s="8">
        <v>7</v>
      </c>
      <c r="AW22" s="28">
        <v>8</v>
      </c>
      <c r="AX22" s="8">
        <v>9</v>
      </c>
      <c r="AY22" s="8">
        <v>10</v>
      </c>
      <c r="AZ22" s="8">
        <v>11</v>
      </c>
      <c r="BA22" s="8">
        <v>12</v>
      </c>
      <c r="BB22" s="8">
        <v>13</v>
      </c>
      <c r="BC22" s="8">
        <v>14</v>
      </c>
      <c r="BD22" s="8">
        <v>15</v>
      </c>
      <c r="BE22" s="8">
        <v>16</v>
      </c>
      <c r="BF22" s="2"/>
      <c r="BG22" s="2"/>
      <c r="BH22" s="2"/>
      <c r="BI22" s="2"/>
      <c r="BJ22" s="2"/>
      <c r="BK22" s="8">
        <v>17</v>
      </c>
      <c r="BL22" s="8">
        <v>18</v>
      </c>
      <c r="BM22" s="8">
        <v>19</v>
      </c>
      <c r="BN22" s="8">
        <v>20</v>
      </c>
      <c r="BO22" s="8">
        <v>21</v>
      </c>
      <c r="BP22" s="8">
        <v>22</v>
      </c>
      <c r="BQ22" s="8">
        <v>23</v>
      </c>
      <c r="BR22" s="8">
        <v>24</v>
      </c>
      <c r="BS22" s="8">
        <v>25</v>
      </c>
      <c r="BT22" s="8">
        <v>26</v>
      </c>
      <c r="BU22" s="8">
        <v>27</v>
      </c>
      <c r="BV22" s="8">
        <v>28</v>
      </c>
      <c r="BW22" s="8">
        <v>29</v>
      </c>
      <c r="BX22" s="8">
        <v>30</v>
      </c>
      <c r="BY22" s="8">
        <v>31</v>
      </c>
      <c r="BZ22" s="86" t="s">
        <v>9</v>
      </c>
      <c r="CA22" s="87"/>
      <c r="CB22" s="90" t="s">
        <v>11</v>
      </c>
      <c r="CC22" s="90" t="s">
        <v>12</v>
      </c>
      <c r="CD22" s="92" t="s">
        <v>10</v>
      </c>
      <c r="CH22" s="4"/>
      <c r="CI22" s="4"/>
      <c r="CJ22" s="4"/>
      <c r="CK22" s="4"/>
      <c r="CL22" s="4"/>
      <c r="CM22" s="4"/>
      <c r="CN22" s="4"/>
      <c r="CO22" s="4"/>
      <c r="CP22" s="4"/>
      <c r="CQ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</row>
    <row r="23" spans="3:186" s="3" customFormat="1" ht="9" customHeight="1" x14ac:dyDescent="0.3">
      <c r="C23" s="15"/>
      <c r="D23" s="15"/>
      <c r="E23" s="15"/>
      <c r="F23" s="15"/>
      <c r="G23" s="15"/>
      <c r="H23" s="44"/>
      <c r="I23" s="45"/>
      <c r="J23" s="29"/>
      <c r="K23" s="29"/>
      <c r="L23" s="29"/>
      <c r="M23" s="29"/>
      <c r="N23" s="29"/>
      <c r="O23" s="29"/>
      <c r="P23" s="29"/>
      <c r="Q23" s="29"/>
      <c r="R23" s="15"/>
      <c r="S23" s="15"/>
      <c r="T23" s="15"/>
      <c r="U23" s="15"/>
      <c r="V23" s="44"/>
      <c r="W23" s="44"/>
      <c r="X23" s="15"/>
      <c r="Y23" s="15"/>
      <c r="Z23" s="15"/>
      <c r="AA23" s="15"/>
      <c r="AB23" s="15"/>
      <c r="AC23" s="44"/>
      <c r="AD23" s="44"/>
      <c r="AE23" s="15"/>
      <c r="AF23" s="15"/>
      <c r="AM23" s="74"/>
      <c r="AN23" s="74"/>
      <c r="AO23" s="85"/>
      <c r="AP23" s="15" t="s">
        <v>5</v>
      </c>
      <c r="AQ23" s="15" t="s">
        <v>6</v>
      </c>
      <c r="AR23" s="15" t="s">
        <v>1</v>
      </c>
      <c r="AS23" s="15" t="s">
        <v>7</v>
      </c>
      <c r="AT23" s="15" t="s">
        <v>2</v>
      </c>
      <c r="AU23" s="15" t="s">
        <v>3</v>
      </c>
      <c r="AV23" s="15" t="s">
        <v>4</v>
      </c>
      <c r="AW23" s="15" t="s">
        <v>5</v>
      </c>
      <c r="AX23" s="15" t="s">
        <v>6</v>
      </c>
      <c r="AY23" s="15" t="s">
        <v>1</v>
      </c>
      <c r="AZ23" s="15" t="s">
        <v>7</v>
      </c>
      <c r="BA23" s="15" t="s">
        <v>2</v>
      </c>
      <c r="BB23" s="15" t="s">
        <v>3</v>
      </c>
      <c r="BC23" s="15" t="s">
        <v>4</v>
      </c>
      <c r="BD23" s="15" t="s">
        <v>5</v>
      </c>
      <c r="BE23" s="15" t="s">
        <v>6</v>
      </c>
      <c r="BF23" s="2"/>
      <c r="BG23" s="2"/>
      <c r="BH23" s="2"/>
      <c r="BI23" s="2"/>
      <c r="BJ23" s="2"/>
      <c r="BK23" s="15" t="s">
        <v>1</v>
      </c>
      <c r="BL23" s="15" t="s">
        <v>7</v>
      </c>
      <c r="BM23" s="15" t="s">
        <v>2</v>
      </c>
      <c r="BN23" s="15" t="s">
        <v>3</v>
      </c>
      <c r="BO23" s="15" t="s">
        <v>4</v>
      </c>
      <c r="BP23" s="15" t="s">
        <v>5</v>
      </c>
      <c r="BQ23" s="15" t="s">
        <v>6</v>
      </c>
      <c r="BR23" s="15" t="s">
        <v>1</v>
      </c>
      <c r="BS23" s="15" t="s">
        <v>7</v>
      </c>
      <c r="BT23" s="15" t="s">
        <v>2</v>
      </c>
      <c r="BU23" s="15" t="s">
        <v>3</v>
      </c>
      <c r="BV23" s="15" t="s">
        <v>4</v>
      </c>
      <c r="BW23" s="15" t="s">
        <v>5</v>
      </c>
      <c r="BX23" s="15" t="s">
        <v>6</v>
      </c>
      <c r="BY23" s="15" t="s">
        <v>1</v>
      </c>
      <c r="BZ23" s="88"/>
      <c r="CA23" s="89"/>
      <c r="CB23" s="91"/>
      <c r="CC23" s="91"/>
      <c r="CD23" s="93"/>
      <c r="CH23" s="4"/>
      <c r="CI23" s="4"/>
      <c r="CJ23" s="4"/>
      <c r="CK23" s="4"/>
      <c r="CL23" s="4"/>
      <c r="CM23" s="4"/>
      <c r="CN23" s="4"/>
      <c r="CO23" s="4"/>
      <c r="CP23" s="4"/>
      <c r="CQ23" s="4"/>
      <c r="CS23" s="4"/>
      <c r="CT23" s="4"/>
      <c r="CU23" s="4"/>
      <c r="CV23"/>
      <c r="CW23"/>
      <c r="CX23"/>
      <c r="CY23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</row>
    <row r="24" spans="3:186" s="9" customFormat="1" ht="9" customHeight="1" x14ac:dyDescent="0.25"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M24" s="64" t="s">
        <v>17</v>
      </c>
      <c r="AN24" s="97" t="s">
        <v>15</v>
      </c>
      <c r="AO24" s="57"/>
      <c r="AP24" s="22"/>
      <c r="AQ24" s="22">
        <v>2200</v>
      </c>
      <c r="AR24" s="22"/>
      <c r="AS24" s="22"/>
      <c r="AT24" s="22"/>
      <c r="AU24" s="22"/>
      <c r="AV24" s="22"/>
      <c r="AW24" s="22"/>
      <c r="AX24" s="22">
        <v>2200</v>
      </c>
      <c r="AY24" s="22"/>
      <c r="AZ24" s="22"/>
      <c r="BA24" s="22"/>
      <c r="BB24" s="22"/>
      <c r="BC24" s="22"/>
      <c r="BD24" s="22"/>
      <c r="BE24" s="22">
        <v>2200</v>
      </c>
      <c r="BF24" s="16"/>
      <c r="BG24" s="16"/>
      <c r="BH24" s="16"/>
      <c r="BI24" s="16"/>
      <c r="BJ24" s="16"/>
      <c r="BK24" s="22"/>
      <c r="BL24" s="22"/>
      <c r="BM24" s="22"/>
      <c r="BN24" s="22"/>
      <c r="BO24" s="22"/>
      <c r="BP24" s="22"/>
      <c r="BQ24" s="22">
        <v>2200</v>
      </c>
      <c r="BR24" s="22"/>
      <c r="BS24" s="22"/>
      <c r="BT24" s="22"/>
      <c r="BU24" s="22"/>
      <c r="BV24" s="22"/>
      <c r="BW24" s="22"/>
      <c r="BX24" s="22">
        <v>2200</v>
      </c>
      <c r="BY24" s="22"/>
      <c r="BZ24" s="26"/>
      <c r="CA24" s="33">
        <f>IF(SUM(AP24:BY24)&lt;=0,1*0,SUM(AP24:BY24))</f>
        <v>11000</v>
      </c>
      <c r="CB24" s="50">
        <f>CB25*AO25</f>
        <v>11000</v>
      </c>
      <c r="CC24" s="51">
        <f>CC25*AO25</f>
        <v>0</v>
      </c>
      <c r="CD24" s="51">
        <f>CD25*AO25</f>
        <v>0</v>
      </c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S24" s="10"/>
      <c r="CT24" s="10"/>
      <c r="CU24" s="10"/>
      <c r="CV24"/>
      <c r="CW24"/>
      <c r="CX24"/>
      <c r="CY24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</row>
    <row r="25" spans="3:186" s="9" customFormat="1" ht="9" customHeight="1" x14ac:dyDescent="0.25">
      <c r="C25" s="23">
        <f>AO25</f>
        <v>1</v>
      </c>
      <c r="D25" s="23">
        <f t="shared" ref="D25:AF25" si="0">C25</f>
        <v>1</v>
      </c>
      <c r="E25" s="23">
        <f t="shared" si="0"/>
        <v>1</v>
      </c>
      <c r="F25" s="23">
        <f t="shared" si="0"/>
        <v>1</v>
      </c>
      <c r="G25" s="23">
        <f t="shared" si="0"/>
        <v>1</v>
      </c>
      <c r="H25" s="23">
        <f t="shared" si="0"/>
        <v>1</v>
      </c>
      <c r="I25" s="23">
        <f t="shared" si="0"/>
        <v>1</v>
      </c>
      <c r="J25" s="23">
        <f t="shared" si="0"/>
        <v>1</v>
      </c>
      <c r="K25" s="23">
        <f t="shared" si="0"/>
        <v>1</v>
      </c>
      <c r="L25" s="23">
        <f t="shared" si="0"/>
        <v>1</v>
      </c>
      <c r="M25" s="23">
        <f t="shared" si="0"/>
        <v>1</v>
      </c>
      <c r="N25" s="23">
        <f t="shared" si="0"/>
        <v>1</v>
      </c>
      <c r="O25" s="23">
        <f t="shared" si="0"/>
        <v>1</v>
      </c>
      <c r="P25" s="23">
        <f t="shared" si="0"/>
        <v>1</v>
      </c>
      <c r="Q25" s="23">
        <f t="shared" si="0"/>
        <v>1</v>
      </c>
      <c r="R25" s="23">
        <f t="shared" si="0"/>
        <v>1</v>
      </c>
      <c r="S25" s="23">
        <f t="shared" si="0"/>
        <v>1</v>
      </c>
      <c r="T25" s="23">
        <f t="shared" si="0"/>
        <v>1</v>
      </c>
      <c r="U25" s="23">
        <f t="shared" si="0"/>
        <v>1</v>
      </c>
      <c r="V25" s="23">
        <f t="shared" si="0"/>
        <v>1</v>
      </c>
      <c r="W25" s="23">
        <f t="shared" si="0"/>
        <v>1</v>
      </c>
      <c r="X25" s="23">
        <f t="shared" si="0"/>
        <v>1</v>
      </c>
      <c r="Y25" s="23">
        <f t="shared" si="0"/>
        <v>1</v>
      </c>
      <c r="Z25" s="23">
        <f t="shared" si="0"/>
        <v>1</v>
      </c>
      <c r="AA25" s="23">
        <f t="shared" si="0"/>
        <v>1</v>
      </c>
      <c r="AB25" s="23">
        <f t="shared" si="0"/>
        <v>1</v>
      </c>
      <c r="AC25" s="23">
        <f t="shared" si="0"/>
        <v>1</v>
      </c>
      <c r="AD25" s="23">
        <f t="shared" si="0"/>
        <v>1</v>
      </c>
      <c r="AE25" s="23">
        <f t="shared" si="0"/>
        <v>1</v>
      </c>
      <c r="AF25" s="23">
        <f t="shared" si="0"/>
        <v>1</v>
      </c>
      <c r="AM25" s="65" t="s">
        <v>18</v>
      </c>
      <c r="AN25" s="98" t="s">
        <v>16</v>
      </c>
      <c r="AO25" s="58">
        <v>1</v>
      </c>
      <c r="AP25" s="23"/>
      <c r="AQ25" s="23">
        <v>0</v>
      </c>
      <c r="AR25" s="23"/>
      <c r="AS25" s="23"/>
      <c r="AT25" s="23">
        <v>2200</v>
      </c>
      <c r="AU25" s="23"/>
      <c r="AV25" s="23"/>
      <c r="AW25" s="23"/>
      <c r="AX25" s="23">
        <v>2200</v>
      </c>
      <c r="AY25" s="23"/>
      <c r="AZ25" s="23"/>
      <c r="BA25" s="23"/>
      <c r="BB25" s="23"/>
      <c r="BC25" s="23"/>
      <c r="BD25" s="23"/>
      <c r="BE25" s="23">
        <v>0</v>
      </c>
      <c r="BF25" s="16"/>
      <c r="BG25" s="16"/>
      <c r="BH25" s="16"/>
      <c r="BI25" s="16"/>
      <c r="BJ25" s="16"/>
      <c r="BK25" s="23"/>
      <c r="BL25" s="23"/>
      <c r="BM25" s="23"/>
      <c r="BN25" s="23"/>
      <c r="BO25" s="23"/>
      <c r="BP25" s="23"/>
      <c r="BQ25" s="23">
        <v>0</v>
      </c>
      <c r="BR25" s="23"/>
      <c r="BS25" s="23"/>
      <c r="BT25" s="23"/>
      <c r="BU25" s="23"/>
      <c r="BV25" s="23">
        <v>4400</v>
      </c>
      <c r="BW25" s="23"/>
      <c r="BX25" s="23">
        <v>2200</v>
      </c>
      <c r="BY25" s="23"/>
      <c r="BZ25" s="27"/>
      <c r="CA25" s="49">
        <f>CA24*AO25</f>
        <v>11000</v>
      </c>
      <c r="CB25" s="34">
        <f>IF(SUM(AP25:BY25)&lt;=0,1*0,SUM(AP25:BY25))</f>
        <v>11000</v>
      </c>
      <c r="CC25" s="81"/>
      <c r="CD25" s="35">
        <f>CB25-CA24+CC25</f>
        <v>0</v>
      </c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S25" s="10"/>
      <c r="CT25" s="10"/>
      <c r="CU25" s="10"/>
      <c r="CV25"/>
      <c r="CW25"/>
      <c r="CX25"/>
      <c r="CY25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</row>
    <row r="26" spans="3:186" s="11" customFormat="1" ht="9" customHeight="1" x14ac:dyDescent="0.2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1"/>
      <c r="Z26" s="20"/>
      <c r="AA26" s="20"/>
      <c r="AB26" s="20"/>
      <c r="AC26" s="20"/>
      <c r="AD26" s="20"/>
      <c r="AE26" s="20"/>
      <c r="AF26" s="20"/>
      <c r="AM26" s="66" t="s">
        <v>20</v>
      </c>
      <c r="AN26" s="99"/>
      <c r="AO26" s="59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16"/>
      <c r="BG26" s="16"/>
      <c r="BH26" s="16"/>
      <c r="BI26" s="16"/>
      <c r="BJ26" s="16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6" t="s">
        <v>0</v>
      </c>
      <c r="CA26" s="53">
        <f>IF(SUM(AP26:BY26)&lt;=0,1*0,SUM(AP26:BY26))</f>
        <v>0</v>
      </c>
      <c r="CB26" s="50">
        <f t="shared" ref="CB26" si="1">CB27*AO27</f>
        <v>0</v>
      </c>
      <c r="CC26" s="54">
        <f>CC27*AO27</f>
        <v>6400</v>
      </c>
      <c r="CD26" s="54">
        <f>CD27*AO27</f>
        <v>6400</v>
      </c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S26" s="12"/>
      <c r="CT26" s="12"/>
      <c r="CU26" s="12"/>
      <c r="CV26"/>
      <c r="CW26"/>
      <c r="CX26"/>
      <c r="CY26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</row>
    <row r="27" spans="3:186" s="11" customFormat="1" ht="9" customHeight="1" x14ac:dyDescent="0.25">
      <c r="C27" s="21">
        <f>AO27</f>
        <v>1</v>
      </c>
      <c r="D27" s="21">
        <f t="shared" ref="D27:AF27" si="2">C27</f>
        <v>1</v>
      </c>
      <c r="E27" s="21">
        <f t="shared" si="2"/>
        <v>1</v>
      </c>
      <c r="F27" s="21">
        <f t="shared" si="2"/>
        <v>1</v>
      </c>
      <c r="G27" s="21">
        <f t="shared" si="2"/>
        <v>1</v>
      </c>
      <c r="H27" s="21">
        <f t="shared" si="2"/>
        <v>1</v>
      </c>
      <c r="I27" s="21">
        <f t="shared" si="2"/>
        <v>1</v>
      </c>
      <c r="J27" s="21">
        <f t="shared" si="2"/>
        <v>1</v>
      </c>
      <c r="K27" s="21">
        <f t="shared" si="2"/>
        <v>1</v>
      </c>
      <c r="L27" s="21">
        <f t="shared" si="2"/>
        <v>1</v>
      </c>
      <c r="M27" s="21">
        <f t="shared" si="2"/>
        <v>1</v>
      </c>
      <c r="N27" s="21">
        <f t="shared" si="2"/>
        <v>1</v>
      </c>
      <c r="O27" s="21">
        <f t="shared" si="2"/>
        <v>1</v>
      </c>
      <c r="P27" s="21">
        <f t="shared" si="2"/>
        <v>1</v>
      </c>
      <c r="Q27" s="21">
        <f t="shared" si="2"/>
        <v>1</v>
      </c>
      <c r="R27" s="21">
        <f t="shared" si="2"/>
        <v>1</v>
      </c>
      <c r="S27" s="21">
        <f t="shared" si="2"/>
        <v>1</v>
      </c>
      <c r="T27" s="21">
        <f t="shared" si="2"/>
        <v>1</v>
      </c>
      <c r="U27" s="21">
        <f t="shared" si="2"/>
        <v>1</v>
      </c>
      <c r="V27" s="21">
        <f t="shared" si="2"/>
        <v>1</v>
      </c>
      <c r="W27" s="21">
        <f t="shared" si="2"/>
        <v>1</v>
      </c>
      <c r="X27" s="21">
        <f t="shared" si="2"/>
        <v>1</v>
      </c>
      <c r="Y27" s="21">
        <f t="shared" si="2"/>
        <v>1</v>
      </c>
      <c r="Z27" s="21">
        <f t="shared" si="2"/>
        <v>1</v>
      </c>
      <c r="AA27" s="21">
        <f t="shared" si="2"/>
        <v>1</v>
      </c>
      <c r="AB27" s="21">
        <f t="shared" si="2"/>
        <v>1</v>
      </c>
      <c r="AC27" s="21">
        <f t="shared" si="2"/>
        <v>1</v>
      </c>
      <c r="AD27" s="21">
        <f t="shared" si="2"/>
        <v>1</v>
      </c>
      <c r="AE27" s="21">
        <f t="shared" si="2"/>
        <v>1</v>
      </c>
      <c r="AF27" s="21">
        <f t="shared" si="2"/>
        <v>1</v>
      </c>
      <c r="AM27" s="67" t="s">
        <v>19</v>
      </c>
      <c r="AN27" s="100"/>
      <c r="AO27" s="60">
        <v>1</v>
      </c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6"/>
      <c r="BG27" s="16"/>
      <c r="BH27" s="16"/>
      <c r="BI27" s="16"/>
      <c r="BJ27" s="16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7"/>
      <c r="CA27" s="52">
        <f>CA26*AO27</f>
        <v>0</v>
      </c>
      <c r="CB27" s="34">
        <f t="shared" ref="CB27" si="3">IF(SUM(AP27:BY27)&lt;=0,1*0,SUM(AP27:BY27))</f>
        <v>0</v>
      </c>
      <c r="CC27" s="82">
        <v>6400</v>
      </c>
      <c r="CD27" s="55">
        <f>CB27-CA26+CC27</f>
        <v>6400</v>
      </c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S27" s="12"/>
      <c r="CT27" s="12"/>
      <c r="CU27" s="12"/>
      <c r="CV27"/>
      <c r="CW27"/>
      <c r="CX27"/>
      <c r="CY27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</row>
    <row r="28" spans="3:186" s="9" customFormat="1" ht="9" customHeight="1" x14ac:dyDescent="0.25"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M28" s="64"/>
      <c r="AN28" s="97"/>
      <c r="AO28" s="57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16"/>
      <c r="BG28" s="16"/>
      <c r="BH28" s="16"/>
      <c r="BI28" s="16"/>
      <c r="BJ28" s="16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6" t="s">
        <v>0</v>
      </c>
      <c r="CA28" s="33">
        <f>IF(SUM(AP28:BY28)&lt;=0,1*0,SUM(AP28:BY28))</f>
        <v>0</v>
      </c>
      <c r="CB28" s="50">
        <f t="shared" ref="CB28" si="4">CB29*AO29</f>
        <v>0</v>
      </c>
      <c r="CC28" s="51">
        <f>CC29*AO29</f>
        <v>0</v>
      </c>
      <c r="CD28" s="51">
        <f>CD29*AO29</f>
        <v>0</v>
      </c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S28" s="10"/>
      <c r="CT28" s="10"/>
      <c r="CU28" s="10"/>
      <c r="CV28"/>
      <c r="CW28"/>
      <c r="CX28"/>
      <c r="CY28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</row>
    <row r="29" spans="3:186" s="9" customFormat="1" ht="9" customHeight="1" x14ac:dyDescent="0.25">
      <c r="C29" s="23">
        <f>AO29</f>
        <v>1</v>
      </c>
      <c r="D29" s="23">
        <f t="shared" ref="D29:AF29" si="5">C29</f>
        <v>1</v>
      </c>
      <c r="E29" s="23">
        <f t="shared" si="5"/>
        <v>1</v>
      </c>
      <c r="F29" s="23">
        <f t="shared" si="5"/>
        <v>1</v>
      </c>
      <c r="G29" s="23">
        <f t="shared" si="5"/>
        <v>1</v>
      </c>
      <c r="H29" s="23">
        <f t="shared" si="5"/>
        <v>1</v>
      </c>
      <c r="I29" s="23">
        <f t="shared" si="5"/>
        <v>1</v>
      </c>
      <c r="J29" s="23">
        <f t="shared" si="5"/>
        <v>1</v>
      </c>
      <c r="K29" s="23">
        <f t="shared" si="5"/>
        <v>1</v>
      </c>
      <c r="L29" s="23">
        <f t="shared" si="5"/>
        <v>1</v>
      </c>
      <c r="M29" s="23">
        <f t="shared" si="5"/>
        <v>1</v>
      </c>
      <c r="N29" s="23">
        <f t="shared" si="5"/>
        <v>1</v>
      </c>
      <c r="O29" s="23">
        <f t="shared" si="5"/>
        <v>1</v>
      </c>
      <c r="P29" s="23">
        <f t="shared" si="5"/>
        <v>1</v>
      </c>
      <c r="Q29" s="23">
        <f t="shared" si="5"/>
        <v>1</v>
      </c>
      <c r="R29" s="23">
        <f t="shared" si="5"/>
        <v>1</v>
      </c>
      <c r="S29" s="23">
        <f t="shared" si="5"/>
        <v>1</v>
      </c>
      <c r="T29" s="23">
        <f t="shared" si="5"/>
        <v>1</v>
      </c>
      <c r="U29" s="23">
        <f t="shared" si="5"/>
        <v>1</v>
      </c>
      <c r="V29" s="23">
        <f t="shared" si="5"/>
        <v>1</v>
      </c>
      <c r="W29" s="23">
        <f t="shared" si="5"/>
        <v>1</v>
      </c>
      <c r="X29" s="23">
        <f t="shared" si="5"/>
        <v>1</v>
      </c>
      <c r="Y29" s="23">
        <f t="shared" si="5"/>
        <v>1</v>
      </c>
      <c r="Z29" s="23">
        <f t="shared" si="5"/>
        <v>1</v>
      </c>
      <c r="AA29" s="23">
        <f t="shared" si="5"/>
        <v>1</v>
      </c>
      <c r="AB29" s="23">
        <f t="shared" si="5"/>
        <v>1</v>
      </c>
      <c r="AC29" s="23">
        <f t="shared" si="5"/>
        <v>1</v>
      </c>
      <c r="AD29" s="23">
        <f t="shared" si="5"/>
        <v>1</v>
      </c>
      <c r="AE29" s="23">
        <f t="shared" si="5"/>
        <v>1</v>
      </c>
      <c r="AF29" s="23">
        <f t="shared" si="5"/>
        <v>1</v>
      </c>
      <c r="AM29" s="65"/>
      <c r="AN29" s="98"/>
      <c r="AO29" s="58">
        <v>1</v>
      </c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  <c r="BF29" s="16"/>
      <c r="BG29" s="16"/>
      <c r="BH29" s="16"/>
      <c r="BI29" s="16"/>
      <c r="BJ29" s="16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7"/>
      <c r="CA29" s="49">
        <f>CA28*AO29</f>
        <v>0</v>
      </c>
      <c r="CB29" s="34">
        <f t="shared" ref="CB29" si="6">IF(SUM(AP29:BY29)&lt;=0,1*0,SUM(AP29:BY29))</f>
        <v>0</v>
      </c>
      <c r="CC29" s="81"/>
      <c r="CD29" s="35">
        <f>CB29-CA28+CC29</f>
        <v>0</v>
      </c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S29" s="10"/>
      <c r="CT29" s="10"/>
      <c r="CU29" s="10"/>
      <c r="CV29"/>
      <c r="CW29"/>
      <c r="CX29"/>
      <c r="CY29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</row>
    <row r="30" spans="3:186" s="11" customFormat="1" ht="9" customHeight="1" x14ac:dyDescent="0.25"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M30" s="66"/>
      <c r="AN30" s="99"/>
      <c r="AO30" s="59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16"/>
      <c r="BG30" s="16"/>
      <c r="BH30" s="16"/>
      <c r="BI30" s="16"/>
      <c r="BJ30" s="16"/>
      <c r="BK30" s="20"/>
      <c r="BL30" s="20"/>
      <c r="BM30" s="20"/>
      <c r="BN30" s="20"/>
      <c r="BO30" s="20"/>
      <c r="BP30" s="20"/>
      <c r="BQ30" s="20"/>
      <c r="BR30" s="20"/>
      <c r="BS30" s="20"/>
      <c r="BT30" s="20"/>
      <c r="BU30" s="20"/>
      <c r="BV30" s="20"/>
      <c r="BW30" s="20"/>
      <c r="BX30" s="20"/>
      <c r="BY30" s="20"/>
      <c r="BZ30" s="26" t="s">
        <v>0</v>
      </c>
      <c r="CA30" s="53">
        <f>IF(SUM(AP30:BY30)&lt;=0,1*0,SUM(AP30:BY30))</f>
        <v>0</v>
      </c>
      <c r="CB30" s="50">
        <f t="shared" ref="CB30" si="7">CB31*AO31</f>
        <v>0</v>
      </c>
      <c r="CC30" s="54">
        <f>CC31*AO31</f>
        <v>1600</v>
      </c>
      <c r="CD30" s="54">
        <f>CD31*AO31</f>
        <v>1600</v>
      </c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S30" s="12"/>
      <c r="CT30" s="12"/>
      <c r="CU30" s="12"/>
      <c r="CV30"/>
      <c r="CW30"/>
      <c r="CX30"/>
      <c r="CY30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</row>
    <row r="31" spans="3:186" s="11" customFormat="1" ht="9" customHeight="1" x14ac:dyDescent="0.25">
      <c r="C31" s="21">
        <f>AO31</f>
        <v>1</v>
      </c>
      <c r="D31" s="21">
        <f t="shared" ref="D31:AF31" si="8">C31</f>
        <v>1</v>
      </c>
      <c r="E31" s="21">
        <f t="shared" si="8"/>
        <v>1</v>
      </c>
      <c r="F31" s="21">
        <f t="shared" si="8"/>
        <v>1</v>
      </c>
      <c r="G31" s="21">
        <f t="shared" si="8"/>
        <v>1</v>
      </c>
      <c r="H31" s="21">
        <f t="shared" si="8"/>
        <v>1</v>
      </c>
      <c r="I31" s="21">
        <f t="shared" si="8"/>
        <v>1</v>
      </c>
      <c r="J31" s="21">
        <f t="shared" si="8"/>
        <v>1</v>
      </c>
      <c r="K31" s="21">
        <f t="shared" si="8"/>
        <v>1</v>
      </c>
      <c r="L31" s="21">
        <f t="shared" si="8"/>
        <v>1</v>
      </c>
      <c r="M31" s="21">
        <f t="shared" si="8"/>
        <v>1</v>
      </c>
      <c r="N31" s="21">
        <f t="shared" si="8"/>
        <v>1</v>
      </c>
      <c r="O31" s="21">
        <f t="shared" si="8"/>
        <v>1</v>
      </c>
      <c r="P31" s="21">
        <f t="shared" si="8"/>
        <v>1</v>
      </c>
      <c r="Q31" s="21">
        <f t="shared" si="8"/>
        <v>1</v>
      </c>
      <c r="R31" s="21">
        <f t="shared" si="8"/>
        <v>1</v>
      </c>
      <c r="S31" s="21">
        <f t="shared" si="8"/>
        <v>1</v>
      </c>
      <c r="T31" s="21">
        <f t="shared" si="8"/>
        <v>1</v>
      </c>
      <c r="U31" s="21">
        <f t="shared" si="8"/>
        <v>1</v>
      </c>
      <c r="V31" s="21">
        <f t="shared" si="8"/>
        <v>1</v>
      </c>
      <c r="W31" s="21">
        <f t="shared" si="8"/>
        <v>1</v>
      </c>
      <c r="X31" s="21">
        <f t="shared" si="8"/>
        <v>1</v>
      </c>
      <c r="Y31" s="21">
        <f t="shared" si="8"/>
        <v>1</v>
      </c>
      <c r="Z31" s="21">
        <f t="shared" si="8"/>
        <v>1</v>
      </c>
      <c r="AA31" s="21">
        <f t="shared" si="8"/>
        <v>1</v>
      </c>
      <c r="AB31" s="21">
        <f t="shared" si="8"/>
        <v>1</v>
      </c>
      <c r="AC31" s="21">
        <f t="shared" si="8"/>
        <v>1</v>
      </c>
      <c r="AD31" s="21">
        <f t="shared" si="8"/>
        <v>1</v>
      </c>
      <c r="AE31" s="21">
        <f t="shared" si="8"/>
        <v>1</v>
      </c>
      <c r="AF31" s="21">
        <f t="shared" si="8"/>
        <v>1</v>
      </c>
      <c r="AM31" s="67"/>
      <c r="AN31" s="100"/>
      <c r="AO31" s="60">
        <v>1</v>
      </c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16"/>
      <c r="BG31" s="16"/>
      <c r="BH31" s="16"/>
      <c r="BI31" s="16"/>
      <c r="BJ31" s="16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7"/>
      <c r="CA31" s="52">
        <f>CA30*AO31</f>
        <v>0</v>
      </c>
      <c r="CB31" s="34">
        <f t="shared" ref="CB31" si="9">IF(SUM(AP31:BY31)&lt;=0,1*0,SUM(AP31:BY31))</f>
        <v>0</v>
      </c>
      <c r="CC31" s="82">
        <v>1600</v>
      </c>
      <c r="CD31" s="55">
        <f>CB31-CA30+CC31</f>
        <v>1600</v>
      </c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S31" s="12"/>
      <c r="CT31" s="12"/>
      <c r="CU31" s="12"/>
      <c r="CV31"/>
      <c r="CW31"/>
      <c r="CX31"/>
      <c r="CY31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</row>
    <row r="32" spans="3:186" s="9" customFormat="1" ht="9" customHeight="1" x14ac:dyDescent="0.25"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30"/>
      <c r="X32" s="22"/>
      <c r="Y32" s="22"/>
      <c r="Z32" s="22"/>
      <c r="AA32" s="22"/>
      <c r="AB32" s="22"/>
      <c r="AC32" s="22"/>
      <c r="AD32" s="22"/>
      <c r="AE32" s="22"/>
      <c r="AF32" s="22"/>
      <c r="AM32" s="64"/>
      <c r="AN32" s="97"/>
      <c r="AO32" s="57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16"/>
      <c r="BG32" s="16"/>
      <c r="BH32" s="16"/>
      <c r="BI32" s="16"/>
      <c r="BJ32" s="16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6" t="s">
        <v>0</v>
      </c>
      <c r="CA32" s="33">
        <f>IF(SUM(AP32:BY32)&lt;=0,1*0,SUM(AP32:BY32))</f>
        <v>0</v>
      </c>
      <c r="CB32" s="50">
        <f t="shared" ref="CB32" si="10">CB33*AO33</f>
        <v>0</v>
      </c>
      <c r="CC32" s="51">
        <f>CC33*AO33</f>
        <v>0</v>
      </c>
      <c r="CD32" s="51">
        <f>CD33*AO33</f>
        <v>0</v>
      </c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S32" s="10"/>
      <c r="CT32" s="10"/>
      <c r="CU32" s="10"/>
      <c r="CV32"/>
      <c r="CW32"/>
      <c r="CX32"/>
      <c r="CY32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</row>
    <row r="33" spans="3:162" s="9" customFormat="1" ht="9" customHeight="1" x14ac:dyDescent="0.25">
      <c r="C33" s="23">
        <f>AO33</f>
        <v>1</v>
      </c>
      <c r="D33" s="23">
        <f t="shared" ref="D33:AF33" si="11">C33</f>
        <v>1</v>
      </c>
      <c r="E33" s="23">
        <f t="shared" si="11"/>
        <v>1</v>
      </c>
      <c r="F33" s="23">
        <f t="shared" si="11"/>
        <v>1</v>
      </c>
      <c r="G33" s="23">
        <f t="shared" si="11"/>
        <v>1</v>
      </c>
      <c r="H33" s="23">
        <f t="shared" si="11"/>
        <v>1</v>
      </c>
      <c r="I33" s="23">
        <f t="shared" si="11"/>
        <v>1</v>
      </c>
      <c r="J33" s="23">
        <f t="shared" si="11"/>
        <v>1</v>
      </c>
      <c r="K33" s="23">
        <f t="shared" si="11"/>
        <v>1</v>
      </c>
      <c r="L33" s="23">
        <f t="shared" si="11"/>
        <v>1</v>
      </c>
      <c r="M33" s="23">
        <f t="shared" si="11"/>
        <v>1</v>
      </c>
      <c r="N33" s="23">
        <f t="shared" si="11"/>
        <v>1</v>
      </c>
      <c r="O33" s="23">
        <f t="shared" si="11"/>
        <v>1</v>
      </c>
      <c r="P33" s="23">
        <f t="shared" si="11"/>
        <v>1</v>
      </c>
      <c r="Q33" s="23">
        <f t="shared" si="11"/>
        <v>1</v>
      </c>
      <c r="R33" s="23">
        <f t="shared" si="11"/>
        <v>1</v>
      </c>
      <c r="S33" s="23">
        <f t="shared" si="11"/>
        <v>1</v>
      </c>
      <c r="T33" s="23">
        <f t="shared" si="11"/>
        <v>1</v>
      </c>
      <c r="U33" s="23">
        <f t="shared" si="11"/>
        <v>1</v>
      </c>
      <c r="V33" s="23">
        <f t="shared" si="11"/>
        <v>1</v>
      </c>
      <c r="W33" s="23">
        <f t="shared" si="11"/>
        <v>1</v>
      </c>
      <c r="X33" s="23">
        <f t="shared" si="11"/>
        <v>1</v>
      </c>
      <c r="Y33" s="23">
        <f t="shared" si="11"/>
        <v>1</v>
      </c>
      <c r="Z33" s="23">
        <f t="shared" si="11"/>
        <v>1</v>
      </c>
      <c r="AA33" s="23">
        <f t="shared" si="11"/>
        <v>1</v>
      </c>
      <c r="AB33" s="23">
        <f t="shared" si="11"/>
        <v>1</v>
      </c>
      <c r="AC33" s="23">
        <f t="shared" si="11"/>
        <v>1</v>
      </c>
      <c r="AD33" s="23">
        <f t="shared" si="11"/>
        <v>1</v>
      </c>
      <c r="AE33" s="23">
        <f t="shared" si="11"/>
        <v>1</v>
      </c>
      <c r="AF33" s="23">
        <f t="shared" si="11"/>
        <v>1</v>
      </c>
      <c r="AM33" s="65"/>
      <c r="AN33" s="98"/>
      <c r="AO33" s="58">
        <v>1</v>
      </c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16"/>
      <c r="BG33" s="16"/>
      <c r="BH33" s="16"/>
      <c r="BI33" s="16"/>
      <c r="BJ33" s="16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7"/>
      <c r="CA33" s="49">
        <f>CA32*AO33</f>
        <v>0</v>
      </c>
      <c r="CB33" s="34">
        <f t="shared" ref="CB33" si="12">IF(SUM(AP33:BY33)&lt;=0,1*0,SUM(AP33:BY33))</f>
        <v>0</v>
      </c>
      <c r="CC33" s="81"/>
      <c r="CD33" s="35">
        <f>CB33-CA32+CC33</f>
        <v>0</v>
      </c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S33" s="10"/>
      <c r="CT33" s="10"/>
      <c r="CU33" s="10"/>
      <c r="CV33"/>
      <c r="CW33"/>
      <c r="CX33"/>
      <c r="CY33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</row>
    <row r="34" spans="3:162" s="11" customFormat="1" ht="9" customHeight="1" x14ac:dyDescent="0.25"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M34" s="66"/>
      <c r="AN34" s="99"/>
      <c r="AO34" s="59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16"/>
      <c r="BG34" s="16"/>
      <c r="BH34" s="16"/>
      <c r="BI34" s="16"/>
      <c r="BJ34" s="16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  <c r="BV34" s="20"/>
      <c r="BW34" s="20"/>
      <c r="BX34" s="20"/>
      <c r="BY34" s="20"/>
      <c r="BZ34" s="26" t="s">
        <v>0</v>
      </c>
      <c r="CA34" s="53">
        <f>IF(SUM(AP34:BY34)&lt;=0,1*0,SUM(AP34:BY34))</f>
        <v>0</v>
      </c>
      <c r="CB34" s="50">
        <f t="shared" ref="CB34" si="13">CB35*AO35</f>
        <v>0</v>
      </c>
      <c r="CC34" s="54">
        <f>CC35*AO35</f>
        <v>4400</v>
      </c>
      <c r="CD34" s="76">
        <f>CD35*AO35</f>
        <v>4400</v>
      </c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S34" s="12"/>
      <c r="CT34" s="12"/>
      <c r="CU34" s="12"/>
      <c r="CV34"/>
      <c r="CW34"/>
      <c r="CX34"/>
      <c r="CY34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2"/>
      <c r="EJ34" s="12"/>
      <c r="EK34" s="12"/>
      <c r="EL34" s="12"/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</row>
    <row r="35" spans="3:162" s="11" customFormat="1" ht="9" customHeight="1" x14ac:dyDescent="0.25">
      <c r="C35" s="21">
        <f>AO35</f>
        <v>1</v>
      </c>
      <c r="D35" s="21">
        <f t="shared" ref="D35:AF35" si="14">C35</f>
        <v>1</v>
      </c>
      <c r="E35" s="21">
        <f t="shared" si="14"/>
        <v>1</v>
      </c>
      <c r="F35" s="21">
        <f t="shared" si="14"/>
        <v>1</v>
      </c>
      <c r="G35" s="21">
        <f t="shared" si="14"/>
        <v>1</v>
      </c>
      <c r="H35" s="21">
        <f t="shared" si="14"/>
        <v>1</v>
      </c>
      <c r="I35" s="21">
        <f t="shared" si="14"/>
        <v>1</v>
      </c>
      <c r="J35" s="21">
        <f t="shared" si="14"/>
        <v>1</v>
      </c>
      <c r="K35" s="21">
        <f t="shared" si="14"/>
        <v>1</v>
      </c>
      <c r="L35" s="21">
        <f t="shared" si="14"/>
        <v>1</v>
      </c>
      <c r="M35" s="21">
        <f t="shared" si="14"/>
        <v>1</v>
      </c>
      <c r="N35" s="21">
        <f t="shared" si="14"/>
        <v>1</v>
      </c>
      <c r="O35" s="21">
        <f t="shared" si="14"/>
        <v>1</v>
      </c>
      <c r="P35" s="21">
        <f t="shared" si="14"/>
        <v>1</v>
      </c>
      <c r="Q35" s="21">
        <f t="shared" si="14"/>
        <v>1</v>
      </c>
      <c r="R35" s="21">
        <f t="shared" si="14"/>
        <v>1</v>
      </c>
      <c r="S35" s="21">
        <f t="shared" si="14"/>
        <v>1</v>
      </c>
      <c r="T35" s="21">
        <f t="shared" si="14"/>
        <v>1</v>
      </c>
      <c r="U35" s="21">
        <f t="shared" si="14"/>
        <v>1</v>
      </c>
      <c r="V35" s="21">
        <f t="shared" si="14"/>
        <v>1</v>
      </c>
      <c r="W35" s="21">
        <f t="shared" si="14"/>
        <v>1</v>
      </c>
      <c r="X35" s="21">
        <f t="shared" si="14"/>
        <v>1</v>
      </c>
      <c r="Y35" s="21">
        <f t="shared" si="14"/>
        <v>1</v>
      </c>
      <c r="Z35" s="21">
        <f t="shared" si="14"/>
        <v>1</v>
      </c>
      <c r="AA35" s="21">
        <f t="shared" si="14"/>
        <v>1</v>
      </c>
      <c r="AB35" s="21">
        <f t="shared" si="14"/>
        <v>1</v>
      </c>
      <c r="AC35" s="21">
        <f t="shared" si="14"/>
        <v>1</v>
      </c>
      <c r="AD35" s="21">
        <f t="shared" si="14"/>
        <v>1</v>
      </c>
      <c r="AE35" s="21">
        <f t="shared" si="14"/>
        <v>1</v>
      </c>
      <c r="AF35" s="21">
        <f t="shared" si="14"/>
        <v>1</v>
      </c>
      <c r="AM35" s="67"/>
      <c r="AN35" s="100"/>
      <c r="AO35" s="60">
        <v>1</v>
      </c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16"/>
      <c r="BG35" s="16"/>
      <c r="BH35" s="16"/>
      <c r="BI35" s="16"/>
      <c r="BJ35" s="16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7"/>
      <c r="CA35" s="52">
        <f>CA34*AO35</f>
        <v>0</v>
      </c>
      <c r="CB35" s="34">
        <f t="shared" ref="CB35" si="15">IF(SUM(AP35:BY35)&lt;=0,1*0,SUM(AP35:BY35))</f>
        <v>0</v>
      </c>
      <c r="CC35" s="83">
        <v>4400</v>
      </c>
      <c r="CD35" s="77">
        <f>CB35-CA34+CC35</f>
        <v>4400</v>
      </c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S35" s="12"/>
      <c r="CT35" s="12"/>
      <c r="CU35" s="12"/>
      <c r="CV35"/>
      <c r="CW35"/>
      <c r="CX35"/>
      <c r="CY35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</row>
    <row r="36" spans="3:162" s="9" customFormat="1" ht="9" customHeight="1" x14ac:dyDescent="0.25"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M36" s="64"/>
      <c r="AN36" s="97"/>
      <c r="AO36" s="57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16"/>
      <c r="BG36" s="16"/>
      <c r="BH36" s="16"/>
      <c r="BI36" s="16"/>
      <c r="BJ36" s="16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6" t="s">
        <v>0</v>
      </c>
      <c r="CA36" s="33">
        <f>IF(SUM(AP36:BY36)&lt;=0,1*0,SUM(AP36:BY36))</f>
        <v>0</v>
      </c>
      <c r="CB36" s="50">
        <f t="shared" ref="CB36" si="16">CB37*AO37</f>
        <v>0</v>
      </c>
      <c r="CC36" s="51">
        <f>CC37*AO37</f>
        <v>0</v>
      </c>
      <c r="CD36" s="51">
        <f>CD37*AO37</f>
        <v>0</v>
      </c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S36" s="10"/>
      <c r="CT36" s="10"/>
      <c r="CU36" s="10"/>
      <c r="CV36"/>
      <c r="CW36"/>
      <c r="CX36"/>
      <c r="CY36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</row>
    <row r="37" spans="3:162" s="9" customFormat="1" ht="9" customHeight="1" x14ac:dyDescent="0.25">
      <c r="C37" s="23">
        <f>AO37</f>
        <v>1</v>
      </c>
      <c r="D37" s="23">
        <f t="shared" ref="D37:AF37" si="17">C37</f>
        <v>1</v>
      </c>
      <c r="E37" s="23">
        <f t="shared" si="17"/>
        <v>1</v>
      </c>
      <c r="F37" s="23">
        <f t="shared" si="17"/>
        <v>1</v>
      </c>
      <c r="G37" s="23">
        <f t="shared" si="17"/>
        <v>1</v>
      </c>
      <c r="H37" s="23">
        <f t="shared" si="17"/>
        <v>1</v>
      </c>
      <c r="I37" s="23">
        <f t="shared" si="17"/>
        <v>1</v>
      </c>
      <c r="J37" s="23">
        <f t="shared" si="17"/>
        <v>1</v>
      </c>
      <c r="K37" s="23">
        <f t="shared" si="17"/>
        <v>1</v>
      </c>
      <c r="L37" s="23">
        <f t="shared" si="17"/>
        <v>1</v>
      </c>
      <c r="M37" s="23">
        <f t="shared" si="17"/>
        <v>1</v>
      </c>
      <c r="N37" s="23">
        <f t="shared" si="17"/>
        <v>1</v>
      </c>
      <c r="O37" s="23">
        <f t="shared" si="17"/>
        <v>1</v>
      </c>
      <c r="P37" s="23">
        <f t="shared" si="17"/>
        <v>1</v>
      </c>
      <c r="Q37" s="23">
        <f t="shared" si="17"/>
        <v>1</v>
      </c>
      <c r="R37" s="23">
        <f t="shared" si="17"/>
        <v>1</v>
      </c>
      <c r="S37" s="23">
        <f t="shared" si="17"/>
        <v>1</v>
      </c>
      <c r="T37" s="23">
        <f t="shared" si="17"/>
        <v>1</v>
      </c>
      <c r="U37" s="23">
        <f t="shared" si="17"/>
        <v>1</v>
      </c>
      <c r="V37" s="23">
        <f t="shared" si="17"/>
        <v>1</v>
      </c>
      <c r="W37" s="23">
        <f t="shared" si="17"/>
        <v>1</v>
      </c>
      <c r="X37" s="23">
        <f t="shared" si="17"/>
        <v>1</v>
      </c>
      <c r="Y37" s="23">
        <f t="shared" si="17"/>
        <v>1</v>
      </c>
      <c r="Z37" s="23">
        <f t="shared" si="17"/>
        <v>1</v>
      </c>
      <c r="AA37" s="23">
        <f t="shared" si="17"/>
        <v>1</v>
      </c>
      <c r="AB37" s="23">
        <f t="shared" si="17"/>
        <v>1</v>
      </c>
      <c r="AC37" s="23">
        <f t="shared" si="17"/>
        <v>1</v>
      </c>
      <c r="AD37" s="23">
        <f t="shared" si="17"/>
        <v>1</v>
      </c>
      <c r="AE37" s="23">
        <f t="shared" si="17"/>
        <v>1</v>
      </c>
      <c r="AF37" s="23">
        <f t="shared" si="17"/>
        <v>1</v>
      </c>
      <c r="AM37" s="65"/>
      <c r="AN37" s="98"/>
      <c r="AO37" s="58">
        <v>1</v>
      </c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16"/>
      <c r="BG37" s="16"/>
      <c r="BH37" s="16"/>
      <c r="BI37" s="16"/>
      <c r="BJ37" s="16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7"/>
      <c r="CA37" s="49">
        <f>CA36*AO37</f>
        <v>0</v>
      </c>
      <c r="CB37" s="34">
        <f t="shared" ref="CB37" si="18">IF(SUM(AP37:BY37)&lt;=0,1*0,SUM(AP37:BY37))</f>
        <v>0</v>
      </c>
      <c r="CC37" s="81"/>
      <c r="CD37" s="35">
        <f>CB37-CA36+CC37</f>
        <v>0</v>
      </c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S37" s="10"/>
      <c r="CT37" s="10"/>
      <c r="CU37" s="10"/>
      <c r="CV37"/>
      <c r="CW37"/>
      <c r="CX37"/>
      <c r="CY37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</row>
    <row r="38" spans="3:162" s="11" customFormat="1" ht="9" customHeight="1" x14ac:dyDescent="0.25"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M38" s="66"/>
      <c r="AN38" s="99"/>
      <c r="AO38" s="59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16"/>
      <c r="BG38" s="16"/>
      <c r="BH38" s="16"/>
      <c r="BI38" s="16"/>
      <c r="BJ38" s="16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6" t="s">
        <v>0</v>
      </c>
      <c r="CA38" s="53">
        <f>IF(SUM(AP38:BY38)&lt;=0,1*0,SUM(AP38:BY38))</f>
        <v>0</v>
      </c>
      <c r="CB38" s="50">
        <f t="shared" ref="CB38" si="19">CB39*AO39</f>
        <v>0</v>
      </c>
      <c r="CC38" s="54">
        <f>CC39*AO39</f>
        <v>0</v>
      </c>
      <c r="CD38" s="76">
        <f>CD39*AO39</f>
        <v>0</v>
      </c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S38" s="12"/>
      <c r="CT38" s="12"/>
      <c r="CU38" s="12"/>
      <c r="CV38"/>
      <c r="CW38"/>
      <c r="CX38"/>
      <c r="CY38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</row>
    <row r="39" spans="3:162" s="11" customFormat="1" ht="9" customHeight="1" x14ac:dyDescent="0.15">
      <c r="C39" s="21">
        <f>AO39</f>
        <v>1</v>
      </c>
      <c r="D39" s="21">
        <f t="shared" ref="D39:AF39" si="20">C39</f>
        <v>1</v>
      </c>
      <c r="E39" s="21">
        <f t="shared" si="20"/>
        <v>1</v>
      </c>
      <c r="F39" s="21">
        <f t="shared" si="20"/>
        <v>1</v>
      </c>
      <c r="G39" s="21">
        <f t="shared" si="20"/>
        <v>1</v>
      </c>
      <c r="H39" s="21">
        <f t="shared" si="20"/>
        <v>1</v>
      </c>
      <c r="I39" s="21">
        <f t="shared" si="20"/>
        <v>1</v>
      </c>
      <c r="J39" s="21">
        <f t="shared" si="20"/>
        <v>1</v>
      </c>
      <c r="K39" s="21">
        <f t="shared" si="20"/>
        <v>1</v>
      </c>
      <c r="L39" s="21">
        <f t="shared" si="20"/>
        <v>1</v>
      </c>
      <c r="M39" s="21">
        <f t="shared" si="20"/>
        <v>1</v>
      </c>
      <c r="N39" s="21">
        <f t="shared" si="20"/>
        <v>1</v>
      </c>
      <c r="O39" s="21">
        <f t="shared" si="20"/>
        <v>1</v>
      </c>
      <c r="P39" s="21">
        <f t="shared" si="20"/>
        <v>1</v>
      </c>
      <c r="Q39" s="21">
        <f t="shared" si="20"/>
        <v>1</v>
      </c>
      <c r="R39" s="21">
        <f t="shared" si="20"/>
        <v>1</v>
      </c>
      <c r="S39" s="21">
        <f t="shared" si="20"/>
        <v>1</v>
      </c>
      <c r="T39" s="21">
        <f t="shared" si="20"/>
        <v>1</v>
      </c>
      <c r="U39" s="21">
        <f t="shared" si="20"/>
        <v>1</v>
      </c>
      <c r="V39" s="21">
        <f t="shared" si="20"/>
        <v>1</v>
      </c>
      <c r="W39" s="21">
        <f t="shared" si="20"/>
        <v>1</v>
      </c>
      <c r="X39" s="21">
        <f t="shared" si="20"/>
        <v>1</v>
      </c>
      <c r="Y39" s="21">
        <f t="shared" si="20"/>
        <v>1</v>
      </c>
      <c r="Z39" s="21">
        <f t="shared" si="20"/>
        <v>1</v>
      </c>
      <c r="AA39" s="21">
        <f t="shared" si="20"/>
        <v>1</v>
      </c>
      <c r="AB39" s="21">
        <f t="shared" si="20"/>
        <v>1</v>
      </c>
      <c r="AC39" s="21">
        <f t="shared" si="20"/>
        <v>1</v>
      </c>
      <c r="AD39" s="21">
        <f t="shared" si="20"/>
        <v>1</v>
      </c>
      <c r="AE39" s="21">
        <f t="shared" si="20"/>
        <v>1</v>
      </c>
      <c r="AF39" s="21">
        <f t="shared" si="20"/>
        <v>1</v>
      </c>
      <c r="AM39" s="67"/>
      <c r="AN39" s="100"/>
      <c r="AO39" s="60">
        <v>1</v>
      </c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16"/>
      <c r="BG39" s="16"/>
      <c r="BH39" s="16"/>
      <c r="BI39" s="16"/>
      <c r="BJ39" s="16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7"/>
      <c r="CA39" s="52">
        <f>CA38*AO39</f>
        <v>0</v>
      </c>
      <c r="CB39" s="34">
        <f t="shared" ref="CB39" si="21">IF(SUM(AP39:BY39)&lt;=0,1*0,SUM(AP39:BY39))</f>
        <v>0</v>
      </c>
      <c r="CC39" s="82"/>
      <c r="CD39" s="77">
        <f>CB39-CA38+CC39</f>
        <v>0</v>
      </c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</row>
    <row r="40" spans="3:162" s="9" customFormat="1" ht="9" customHeight="1" x14ac:dyDescent="0.15"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M40" s="64"/>
      <c r="AN40" s="97"/>
      <c r="AO40" s="57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16"/>
      <c r="BG40" s="16"/>
      <c r="BH40" s="16"/>
      <c r="BI40" s="16"/>
      <c r="BJ40" s="16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6" t="s">
        <v>0</v>
      </c>
      <c r="CA40" s="33">
        <f>IF(SUM(AP40:BY40)&lt;=0,1*0,SUM(AP40:BY40))</f>
        <v>0</v>
      </c>
      <c r="CB40" s="50">
        <f t="shared" ref="CB40" si="22">CB41*AO41</f>
        <v>0</v>
      </c>
      <c r="CC40" s="51">
        <f>CC41*AO41</f>
        <v>0</v>
      </c>
      <c r="CD40" s="51">
        <f>CD41*AO41</f>
        <v>0</v>
      </c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</row>
    <row r="41" spans="3:162" s="9" customFormat="1" ht="9" customHeight="1" x14ac:dyDescent="0.15">
      <c r="C41" s="23">
        <f>AO41</f>
        <v>1</v>
      </c>
      <c r="D41" s="23">
        <f t="shared" ref="D41:AF41" si="23">C41</f>
        <v>1</v>
      </c>
      <c r="E41" s="23">
        <f t="shared" si="23"/>
        <v>1</v>
      </c>
      <c r="F41" s="23">
        <f t="shared" si="23"/>
        <v>1</v>
      </c>
      <c r="G41" s="23">
        <f t="shared" si="23"/>
        <v>1</v>
      </c>
      <c r="H41" s="23">
        <f t="shared" si="23"/>
        <v>1</v>
      </c>
      <c r="I41" s="23">
        <f t="shared" si="23"/>
        <v>1</v>
      </c>
      <c r="J41" s="23">
        <f t="shared" si="23"/>
        <v>1</v>
      </c>
      <c r="K41" s="23">
        <f t="shared" si="23"/>
        <v>1</v>
      </c>
      <c r="L41" s="23">
        <f t="shared" si="23"/>
        <v>1</v>
      </c>
      <c r="M41" s="23">
        <f t="shared" si="23"/>
        <v>1</v>
      </c>
      <c r="N41" s="23">
        <f t="shared" si="23"/>
        <v>1</v>
      </c>
      <c r="O41" s="23">
        <f t="shared" si="23"/>
        <v>1</v>
      </c>
      <c r="P41" s="23">
        <f t="shared" si="23"/>
        <v>1</v>
      </c>
      <c r="Q41" s="23">
        <f t="shared" si="23"/>
        <v>1</v>
      </c>
      <c r="R41" s="23">
        <f t="shared" si="23"/>
        <v>1</v>
      </c>
      <c r="S41" s="23">
        <f t="shared" si="23"/>
        <v>1</v>
      </c>
      <c r="T41" s="23">
        <f t="shared" si="23"/>
        <v>1</v>
      </c>
      <c r="U41" s="23">
        <f t="shared" si="23"/>
        <v>1</v>
      </c>
      <c r="V41" s="23">
        <f t="shared" si="23"/>
        <v>1</v>
      </c>
      <c r="W41" s="23">
        <f t="shared" si="23"/>
        <v>1</v>
      </c>
      <c r="X41" s="23">
        <f t="shared" si="23"/>
        <v>1</v>
      </c>
      <c r="Y41" s="23">
        <f t="shared" si="23"/>
        <v>1</v>
      </c>
      <c r="Z41" s="23">
        <f t="shared" si="23"/>
        <v>1</v>
      </c>
      <c r="AA41" s="23">
        <f t="shared" si="23"/>
        <v>1</v>
      </c>
      <c r="AB41" s="23">
        <f t="shared" si="23"/>
        <v>1</v>
      </c>
      <c r="AC41" s="23">
        <f t="shared" si="23"/>
        <v>1</v>
      </c>
      <c r="AD41" s="23">
        <f t="shared" si="23"/>
        <v>1</v>
      </c>
      <c r="AE41" s="23">
        <f t="shared" si="23"/>
        <v>1</v>
      </c>
      <c r="AF41" s="23">
        <f t="shared" si="23"/>
        <v>1</v>
      </c>
      <c r="AM41" s="65"/>
      <c r="AN41" s="98"/>
      <c r="AO41" s="58">
        <v>1</v>
      </c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16"/>
      <c r="BG41" s="16"/>
      <c r="BH41" s="16"/>
      <c r="BI41" s="16"/>
      <c r="BJ41" s="16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7"/>
      <c r="CA41" s="49">
        <f>CA40*AO41</f>
        <v>0</v>
      </c>
      <c r="CB41" s="34">
        <f t="shared" ref="CB41" si="24">IF(SUM(AP41:BY41)&lt;=0,1*0,SUM(AP41:BY41))</f>
        <v>0</v>
      </c>
      <c r="CC41" s="81"/>
      <c r="CD41" s="35">
        <f>CB41-CA40+CC41</f>
        <v>0</v>
      </c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</row>
    <row r="42" spans="3:162" s="11" customFormat="1" ht="9" customHeight="1" x14ac:dyDescent="0.15"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M42" s="66"/>
      <c r="AN42" s="99"/>
      <c r="AO42" s="59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16"/>
      <c r="BG42" s="16"/>
      <c r="BH42" s="16"/>
      <c r="BI42" s="16"/>
      <c r="BJ42" s="16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  <c r="BV42" s="20"/>
      <c r="BW42" s="20"/>
      <c r="BX42" s="20"/>
      <c r="BY42" s="20"/>
      <c r="BZ42" s="26" t="s">
        <v>0</v>
      </c>
      <c r="CA42" s="53">
        <f>IF(SUM(AP42:BY42)&lt;=0,1*0,SUM(AP42:BY42))</f>
        <v>0</v>
      </c>
      <c r="CB42" s="50">
        <f t="shared" ref="CB42" si="25">CB43*AO43</f>
        <v>0</v>
      </c>
      <c r="CC42" s="54">
        <f>CC43*AO43</f>
        <v>0</v>
      </c>
      <c r="CD42" s="54">
        <f>CD43*AO43</f>
        <v>0</v>
      </c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2"/>
      <c r="DG42" s="12"/>
      <c r="DH42" s="12"/>
      <c r="DI42" s="12"/>
      <c r="DJ42" s="12"/>
      <c r="DK42" s="12"/>
      <c r="DL42" s="12"/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2"/>
      <c r="EJ42" s="12"/>
      <c r="EK42" s="12"/>
      <c r="EL42" s="12"/>
      <c r="EM42" s="12"/>
      <c r="EN42" s="12"/>
      <c r="EO42" s="12"/>
      <c r="EP42" s="12"/>
      <c r="EQ42" s="12"/>
      <c r="ER42" s="12"/>
      <c r="ES42" s="12"/>
      <c r="ET42" s="12"/>
      <c r="EU42" s="12"/>
      <c r="EV42" s="12"/>
      <c r="EW42" s="12"/>
      <c r="EX42" s="12"/>
      <c r="EY42" s="12"/>
      <c r="EZ42" s="12"/>
      <c r="FA42" s="12"/>
      <c r="FB42" s="12"/>
      <c r="FC42" s="12"/>
      <c r="FD42" s="12"/>
      <c r="FE42" s="12"/>
      <c r="FF42" s="12"/>
    </row>
    <row r="43" spans="3:162" s="11" customFormat="1" ht="9" customHeight="1" x14ac:dyDescent="0.15">
      <c r="C43" s="21">
        <f>AO43</f>
        <v>1</v>
      </c>
      <c r="D43" s="21">
        <f t="shared" ref="D43:AF43" si="26">C43</f>
        <v>1</v>
      </c>
      <c r="E43" s="21">
        <f t="shared" si="26"/>
        <v>1</v>
      </c>
      <c r="F43" s="21">
        <f t="shared" si="26"/>
        <v>1</v>
      </c>
      <c r="G43" s="21">
        <f t="shared" si="26"/>
        <v>1</v>
      </c>
      <c r="H43" s="21">
        <f t="shared" si="26"/>
        <v>1</v>
      </c>
      <c r="I43" s="21">
        <f t="shared" si="26"/>
        <v>1</v>
      </c>
      <c r="J43" s="21">
        <f t="shared" si="26"/>
        <v>1</v>
      </c>
      <c r="K43" s="21">
        <f t="shared" si="26"/>
        <v>1</v>
      </c>
      <c r="L43" s="21">
        <f t="shared" si="26"/>
        <v>1</v>
      </c>
      <c r="M43" s="21">
        <f t="shared" si="26"/>
        <v>1</v>
      </c>
      <c r="N43" s="21">
        <f t="shared" si="26"/>
        <v>1</v>
      </c>
      <c r="O43" s="21">
        <f t="shared" si="26"/>
        <v>1</v>
      </c>
      <c r="P43" s="21">
        <f t="shared" si="26"/>
        <v>1</v>
      </c>
      <c r="Q43" s="21">
        <f t="shared" si="26"/>
        <v>1</v>
      </c>
      <c r="R43" s="21">
        <f t="shared" si="26"/>
        <v>1</v>
      </c>
      <c r="S43" s="21">
        <f t="shared" si="26"/>
        <v>1</v>
      </c>
      <c r="T43" s="21">
        <f t="shared" si="26"/>
        <v>1</v>
      </c>
      <c r="U43" s="21">
        <f t="shared" si="26"/>
        <v>1</v>
      </c>
      <c r="V43" s="21">
        <f t="shared" si="26"/>
        <v>1</v>
      </c>
      <c r="W43" s="21">
        <f t="shared" si="26"/>
        <v>1</v>
      </c>
      <c r="X43" s="21">
        <f t="shared" si="26"/>
        <v>1</v>
      </c>
      <c r="Y43" s="21">
        <f t="shared" si="26"/>
        <v>1</v>
      </c>
      <c r="Z43" s="21">
        <f t="shared" si="26"/>
        <v>1</v>
      </c>
      <c r="AA43" s="21">
        <f t="shared" si="26"/>
        <v>1</v>
      </c>
      <c r="AB43" s="21">
        <f t="shared" si="26"/>
        <v>1</v>
      </c>
      <c r="AC43" s="21">
        <f t="shared" si="26"/>
        <v>1</v>
      </c>
      <c r="AD43" s="21">
        <f t="shared" si="26"/>
        <v>1</v>
      </c>
      <c r="AE43" s="21">
        <f t="shared" si="26"/>
        <v>1</v>
      </c>
      <c r="AF43" s="21">
        <f t="shared" si="26"/>
        <v>1</v>
      </c>
      <c r="AM43" s="67"/>
      <c r="AN43" s="100"/>
      <c r="AO43" s="60">
        <v>1</v>
      </c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16"/>
      <c r="BG43" s="16"/>
      <c r="BH43" s="16"/>
      <c r="BI43" s="16"/>
      <c r="BJ43" s="16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7"/>
      <c r="CA43" s="52">
        <f>CA42*AO43</f>
        <v>0</v>
      </c>
      <c r="CB43" s="34">
        <f t="shared" ref="CB43" si="27">IF(SUM(AP43:BY43)&lt;=0,1*0,SUM(AP43:BY43))</f>
        <v>0</v>
      </c>
      <c r="CC43" s="82"/>
      <c r="CD43" s="55">
        <f>CB43-CA42+CC43</f>
        <v>0</v>
      </c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</row>
    <row r="44" spans="3:162" s="9" customFormat="1" ht="9" customHeight="1" x14ac:dyDescent="0.15"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M44" s="64"/>
      <c r="AN44" s="97"/>
      <c r="AO44" s="57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16"/>
      <c r="BG44" s="16"/>
      <c r="BH44" s="16"/>
      <c r="BI44" s="16"/>
      <c r="BJ44" s="16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6" t="s">
        <v>0</v>
      </c>
      <c r="CA44" s="33">
        <f>IF(SUM(AP44:BY44)&lt;=0,1*0,SUM(AP44:BY44))</f>
        <v>0</v>
      </c>
      <c r="CB44" s="50">
        <f t="shared" ref="CB44" si="28">CB45*AO45</f>
        <v>0</v>
      </c>
      <c r="CC44" s="51">
        <f>CC45*AO45</f>
        <v>0</v>
      </c>
      <c r="CD44" s="51">
        <f>CD45*AO45</f>
        <v>0</v>
      </c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</row>
    <row r="45" spans="3:162" s="9" customFormat="1" ht="9" customHeight="1" x14ac:dyDescent="0.15">
      <c r="C45" s="23">
        <f>AO45</f>
        <v>1</v>
      </c>
      <c r="D45" s="23">
        <f t="shared" ref="D45:AF45" si="29">C45</f>
        <v>1</v>
      </c>
      <c r="E45" s="23">
        <f t="shared" si="29"/>
        <v>1</v>
      </c>
      <c r="F45" s="23">
        <f t="shared" si="29"/>
        <v>1</v>
      </c>
      <c r="G45" s="23">
        <f t="shared" si="29"/>
        <v>1</v>
      </c>
      <c r="H45" s="23">
        <f t="shared" si="29"/>
        <v>1</v>
      </c>
      <c r="I45" s="23">
        <f t="shared" si="29"/>
        <v>1</v>
      </c>
      <c r="J45" s="23">
        <f t="shared" si="29"/>
        <v>1</v>
      </c>
      <c r="K45" s="23">
        <f t="shared" si="29"/>
        <v>1</v>
      </c>
      <c r="L45" s="23">
        <f t="shared" si="29"/>
        <v>1</v>
      </c>
      <c r="M45" s="23">
        <f t="shared" si="29"/>
        <v>1</v>
      </c>
      <c r="N45" s="23">
        <f t="shared" si="29"/>
        <v>1</v>
      </c>
      <c r="O45" s="23">
        <f t="shared" si="29"/>
        <v>1</v>
      </c>
      <c r="P45" s="23">
        <f t="shared" si="29"/>
        <v>1</v>
      </c>
      <c r="Q45" s="23">
        <f t="shared" si="29"/>
        <v>1</v>
      </c>
      <c r="R45" s="23">
        <f t="shared" si="29"/>
        <v>1</v>
      </c>
      <c r="S45" s="23">
        <f t="shared" si="29"/>
        <v>1</v>
      </c>
      <c r="T45" s="23">
        <f t="shared" si="29"/>
        <v>1</v>
      </c>
      <c r="U45" s="23">
        <f t="shared" si="29"/>
        <v>1</v>
      </c>
      <c r="V45" s="23">
        <f t="shared" si="29"/>
        <v>1</v>
      </c>
      <c r="W45" s="23">
        <f t="shared" si="29"/>
        <v>1</v>
      </c>
      <c r="X45" s="23">
        <f t="shared" si="29"/>
        <v>1</v>
      </c>
      <c r="Y45" s="23">
        <f t="shared" si="29"/>
        <v>1</v>
      </c>
      <c r="Z45" s="23">
        <f t="shared" si="29"/>
        <v>1</v>
      </c>
      <c r="AA45" s="23">
        <f t="shared" si="29"/>
        <v>1</v>
      </c>
      <c r="AB45" s="23">
        <f t="shared" si="29"/>
        <v>1</v>
      </c>
      <c r="AC45" s="23">
        <f t="shared" si="29"/>
        <v>1</v>
      </c>
      <c r="AD45" s="23">
        <f t="shared" si="29"/>
        <v>1</v>
      </c>
      <c r="AE45" s="23">
        <f t="shared" si="29"/>
        <v>1</v>
      </c>
      <c r="AF45" s="23">
        <f t="shared" si="29"/>
        <v>1</v>
      </c>
      <c r="AM45" s="65"/>
      <c r="AN45" s="98"/>
      <c r="AO45" s="58">
        <v>1</v>
      </c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16"/>
      <c r="BG45" s="16"/>
      <c r="BH45" s="16"/>
      <c r="BI45" s="16"/>
      <c r="BJ45" s="16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7"/>
      <c r="CA45" s="49">
        <f>CA44*AO45</f>
        <v>0</v>
      </c>
      <c r="CB45" s="34">
        <f t="shared" ref="CB45" si="30">IF(SUM(AP45:BY45)&lt;=0,1*0,SUM(AP45:BY45))</f>
        <v>0</v>
      </c>
      <c r="CC45" s="36"/>
      <c r="CD45" s="35">
        <f>CB45-CA44+CC45</f>
        <v>0</v>
      </c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</row>
    <row r="46" spans="3:162" s="11" customFormat="1" ht="9" customHeight="1" x14ac:dyDescent="0.15"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M46" s="66"/>
      <c r="AN46" s="99"/>
      <c r="AO46" s="59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16"/>
      <c r="BG46" s="16"/>
      <c r="BH46" s="16"/>
      <c r="BI46" s="16"/>
      <c r="BJ46" s="16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6" t="s">
        <v>0</v>
      </c>
      <c r="CA46" s="53">
        <f>IF(SUM(AP46:BY46)&lt;=0,1*0,SUM(AP46:BY46))</f>
        <v>0</v>
      </c>
      <c r="CB46" s="50">
        <f t="shared" ref="CB46" si="31">CB47*AO47</f>
        <v>0</v>
      </c>
      <c r="CC46" s="54">
        <f>CC47*AO47</f>
        <v>0</v>
      </c>
      <c r="CD46" s="54">
        <f>CD47*AO47</f>
        <v>0</v>
      </c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</row>
    <row r="47" spans="3:162" s="11" customFormat="1" ht="9" customHeight="1" x14ac:dyDescent="0.15">
      <c r="C47" s="21">
        <f>AO47</f>
        <v>1</v>
      </c>
      <c r="D47" s="21">
        <f t="shared" ref="D47:AF47" si="32">C47</f>
        <v>1</v>
      </c>
      <c r="E47" s="21">
        <f t="shared" si="32"/>
        <v>1</v>
      </c>
      <c r="F47" s="21">
        <f t="shared" si="32"/>
        <v>1</v>
      </c>
      <c r="G47" s="21">
        <f t="shared" si="32"/>
        <v>1</v>
      </c>
      <c r="H47" s="21">
        <f t="shared" si="32"/>
        <v>1</v>
      </c>
      <c r="I47" s="21">
        <f t="shared" si="32"/>
        <v>1</v>
      </c>
      <c r="J47" s="21">
        <f t="shared" si="32"/>
        <v>1</v>
      </c>
      <c r="K47" s="21">
        <f t="shared" si="32"/>
        <v>1</v>
      </c>
      <c r="L47" s="21">
        <f t="shared" si="32"/>
        <v>1</v>
      </c>
      <c r="M47" s="21">
        <f t="shared" si="32"/>
        <v>1</v>
      </c>
      <c r="N47" s="21">
        <f t="shared" si="32"/>
        <v>1</v>
      </c>
      <c r="O47" s="21">
        <f t="shared" si="32"/>
        <v>1</v>
      </c>
      <c r="P47" s="21">
        <f t="shared" si="32"/>
        <v>1</v>
      </c>
      <c r="Q47" s="21">
        <f t="shared" si="32"/>
        <v>1</v>
      </c>
      <c r="R47" s="21">
        <f t="shared" si="32"/>
        <v>1</v>
      </c>
      <c r="S47" s="21">
        <f t="shared" si="32"/>
        <v>1</v>
      </c>
      <c r="T47" s="21">
        <f t="shared" si="32"/>
        <v>1</v>
      </c>
      <c r="U47" s="21">
        <f t="shared" si="32"/>
        <v>1</v>
      </c>
      <c r="V47" s="21">
        <f t="shared" si="32"/>
        <v>1</v>
      </c>
      <c r="W47" s="21">
        <f t="shared" si="32"/>
        <v>1</v>
      </c>
      <c r="X47" s="21">
        <f t="shared" si="32"/>
        <v>1</v>
      </c>
      <c r="Y47" s="21">
        <f t="shared" si="32"/>
        <v>1</v>
      </c>
      <c r="Z47" s="21">
        <f t="shared" si="32"/>
        <v>1</v>
      </c>
      <c r="AA47" s="21">
        <f t="shared" si="32"/>
        <v>1</v>
      </c>
      <c r="AB47" s="21">
        <f t="shared" si="32"/>
        <v>1</v>
      </c>
      <c r="AC47" s="21">
        <f t="shared" si="32"/>
        <v>1</v>
      </c>
      <c r="AD47" s="21">
        <f t="shared" si="32"/>
        <v>1</v>
      </c>
      <c r="AE47" s="21">
        <f t="shared" si="32"/>
        <v>1</v>
      </c>
      <c r="AF47" s="21">
        <f t="shared" si="32"/>
        <v>1</v>
      </c>
      <c r="AM47" s="67"/>
      <c r="AN47" s="100"/>
      <c r="AO47" s="60">
        <v>1</v>
      </c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16"/>
      <c r="BG47" s="16"/>
      <c r="BH47" s="16"/>
      <c r="BI47" s="16"/>
      <c r="BJ47" s="16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7"/>
      <c r="CA47" s="52">
        <f>CA46*AO47</f>
        <v>0</v>
      </c>
      <c r="CB47" s="34">
        <f t="shared" ref="CB47" si="33">IF(SUM(AP47:BY47)&lt;=0,1*0,SUM(AP47:BY47))</f>
        <v>0</v>
      </c>
      <c r="CC47" s="56"/>
      <c r="CD47" s="55">
        <f>CB47-CA46+CC47</f>
        <v>0</v>
      </c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2"/>
      <c r="DF47" s="12"/>
      <c r="DG47" s="12"/>
      <c r="DH47" s="12"/>
      <c r="DI47" s="12"/>
      <c r="DJ47" s="12"/>
      <c r="DK47" s="12"/>
      <c r="DL47" s="12"/>
      <c r="DM47" s="12"/>
      <c r="DN47" s="12"/>
      <c r="DO47" s="12"/>
      <c r="DP47" s="12"/>
      <c r="DQ47" s="12"/>
      <c r="DR47" s="12"/>
      <c r="DS47" s="12"/>
      <c r="DT47" s="12"/>
      <c r="DU47" s="12"/>
      <c r="DV47" s="12"/>
      <c r="DW47" s="12"/>
      <c r="DX47" s="12"/>
      <c r="DY47" s="12"/>
      <c r="DZ47" s="12"/>
      <c r="EA47" s="12"/>
      <c r="EB47" s="12"/>
      <c r="EC47" s="12"/>
      <c r="ED47" s="12"/>
      <c r="EE47" s="12"/>
      <c r="EF47" s="12"/>
      <c r="EG47" s="12"/>
      <c r="EH47" s="12"/>
      <c r="EI47" s="12"/>
      <c r="EJ47" s="12"/>
      <c r="EK47" s="12"/>
      <c r="EL47" s="12"/>
      <c r="EM47" s="12"/>
      <c r="EN47" s="12"/>
      <c r="EO47" s="12"/>
      <c r="EP47" s="12"/>
      <c r="EQ47" s="12"/>
      <c r="ER47" s="12"/>
      <c r="ES47" s="12"/>
      <c r="ET47" s="12"/>
      <c r="EU47" s="12"/>
      <c r="EV47" s="12"/>
      <c r="EW47" s="12"/>
      <c r="EX47" s="12"/>
      <c r="EY47" s="12"/>
      <c r="EZ47" s="12"/>
      <c r="FA47" s="12"/>
      <c r="FB47" s="12"/>
      <c r="FC47" s="12"/>
      <c r="FD47" s="12"/>
      <c r="FE47" s="12"/>
      <c r="FF47" s="12"/>
    </row>
    <row r="48" spans="3:162" s="9" customFormat="1" ht="9" customHeight="1" x14ac:dyDescent="0.15"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M48" s="64"/>
      <c r="AN48" s="97"/>
      <c r="AO48" s="57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16"/>
      <c r="BG48" s="16"/>
      <c r="BH48" s="16"/>
      <c r="BI48" s="16"/>
      <c r="BJ48" s="16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6" t="s">
        <v>0</v>
      </c>
      <c r="CA48" s="33">
        <f>IF(SUM(AP48:BY48)&lt;=0,1*0,SUM(AP48:BY48))</f>
        <v>0</v>
      </c>
      <c r="CB48" s="50">
        <f t="shared" ref="CB48" si="34">CB49*AO49</f>
        <v>0</v>
      </c>
      <c r="CC48" s="51">
        <f>CC49*AO49</f>
        <v>0</v>
      </c>
      <c r="CD48" s="51">
        <f>CD49*AO49</f>
        <v>0</v>
      </c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</row>
    <row r="49" spans="3:162" s="9" customFormat="1" ht="9" customHeight="1" x14ac:dyDescent="0.15">
      <c r="C49" s="23">
        <f>AO49</f>
        <v>1</v>
      </c>
      <c r="D49" s="23">
        <f t="shared" ref="D49:AF49" si="35">C49</f>
        <v>1</v>
      </c>
      <c r="E49" s="23">
        <f t="shared" si="35"/>
        <v>1</v>
      </c>
      <c r="F49" s="23">
        <f t="shared" si="35"/>
        <v>1</v>
      </c>
      <c r="G49" s="23">
        <f t="shared" si="35"/>
        <v>1</v>
      </c>
      <c r="H49" s="23">
        <f t="shared" si="35"/>
        <v>1</v>
      </c>
      <c r="I49" s="23">
        <f t="shared" si="35"/>
        <v>1</v>
      </c>
      <c r="J49" s="23">
        <f t="shared" si="35"/>
        <v>1</v>
      </c>
      <c r="K49" s="23">
        <f t="shared" si="35"/>
        <v>1</v>
      </c>
      <c r="L49" s="23">
        <f t="shared" si="35"/>
        <v>1</v>
      </c>
      <c r="M49" s="23">
        <f t="shared" si="35"/>
        <v>1</v>
      </c>
      <c r="N49" s="23">
        <f t="shared" si="35"/>
        <v>1</v>
      </c>
      <c r="O49" s="23">
        <f t="shared" si="35"/>
        <v>1</v>
      </c>
      <c r="P49" s="23">
        <f t="shared" si="35"/>
        <v>1</v>
      </c>
      <c r="Q49" s="23">
        <f t="shared" si="35"/>
        <v>1</v>
      </c>
      <c r="R49" s="23">
        <f t="shared" si="35"/>
        <v>1</v>
      </c>
      <c r="S49" s="23">
        <f t="shared" si="35"/>
        <v>1</v>
      </c>
      <c r="T49" s="23">
        <f t="shared" si="35"/>
        <v>1</v>
      </c>
      <c r="U49" s="23">
        <f t="shared" si="35"/>
        <v>1</v>
      </c>
      <c r="V49" s="23">
        <f t="shared" si="35"/>
        <v>1</v>
      </c>
      <c r="W49" s="23">
        <f t="shared" si="35"/>
        <v>1</v>
      </c>
      <c r="X49" s="23">
        <f t="shared" si="35"/>
        <v>1</v>
      </c>
      <c r="Y49" s="23">
        <f t="shared" si="35"/>
        <v>1</v>
      </c>
      <c r="Z49" s="23">
        <f t="shared" si="35"/>
        <v>1</v>
      </c>
      <c r="AA49" s="23">
        <f t="shared" si="35"/>
        <v>1</v>
      </c>
      <c r="AB49" s="23">
        <f t="shared" si="35"/>
        <v>1</v>
      </c>
      <c r="AC49" s="23">
        <f t="shared" si="35"/>
        <v>1</v>
      </c>
      <c r="AD49" s="23">
        <f t="shared" si="35"/>
        <v>1</v>
      </c>
      <c r="AE49" s="23">
        <f t="shared" si="35"/>
        <v>1</v>
      </c>
      <c r="AF49" s="23">
        <f t="shared" si="35"/>
        <v>1</v>
      </c>
      <c r="AM49" s="65"/>
      <c r="AN49" s="98"/>
      <c r="AO49" s="58">
        <v>1</v>
      </c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16"/>
      <c r="BG49" s="16"/>
      <c r="BH49" s="16"/>
      <c r="BI49" s="16"/>
      <c r="BJ49" s="16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7"/>
      <c r="CA49" s="49">
        <f>CA48*AO49</f>
        <v>0</v>
      </c>
      <c r="CB49" s="34">
        <f t="shared" ref="CB49" si="36">IF(SUM(AP49:BY49)&lt;=0,1*0,SUM(AP49:BY49))</f>
        <v>0</v>
      </c>
      <c r="CC49" s="36"/>
      <c r="CD49" s="35">
        <f>CB49-CA48+CC49</f>
        <v>0</v>
      </c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</row>
    <row r="50" spans="3:162" s="11" customFormat="1" ht="9" customHeight="1" x14ac:dyDescent="0.15"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M50" s="66"/>
      <c r="AN50" s="99"/>
      <c r="AO50" s="59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16"/>
      <c r="BG50" s="16"/>
      <c r="BH50" s="16"/>
      <c r="BI50" s="16"/>
      <c r="BJ50" s="16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6" t="s">
        <v>0</v>
      </c>
      <c r="CA50" s="53">
        <f>IF(SUM(AP50:BY50)&lt;=0,1*0,SUM(AP50:BY50))</f>
        <v>0</v>
      </c>
      <c r="CB50" s="50">
        <f t="shared" ref="CB50" si="37">CB51*AO51</f>
        <v>0</v>
      </c>
      <c r="CC50" s="54">
        <f>CC51*AO51</f>
        <v>0</v>
      </c>
      <c r="CD50" s="54">
        <f>CD51*AO51</f>
        <v>0</v>
      </c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</row>
    <row r="51" spans="3:162" s="11" customFormat="1" ht="9" customHeight="1" x14ac:dyDescent="0.15">
      <c r="C51" s="21">
        <f>AO51</f>
        <v>1</v>
      </c>
      <c r="D51" s="21">
        <f t="shared" ref="D51:AF51" si="38">C51</f>
        <v>1</v>
      </c>
      <c r="E51" s="21">
        <f t="shared" si="38"/>
        <v>1</v>
      </c>
      <c r="F51" s="21">
        <f t="shared" si="38"/>
        <v>1</v>
      </c>
      <c r="G51" s="21">
        <f t="shared" si="38"/>
        <v>1</v>
      </c>
      <c r="H51" s="21">
        <f t="shared" si="38"/>
        <v>1</v>
      </c>
      <c r="I51" s="21">
        <f t="shared" si="38"/>
        <v>1</v>
      </c>
      <c r="J51" s="21">
        <f t="shared" si="38"/>
        <v>1</v>
      </c>
      <c r="K51" s="21">
        <f t="shared" si="38"/>
        <v>1</v>
      </c>
      <c r="L51" s="21">
        <f t="shared" si="38"/>
        <v>1</v>
      </c>
      <c r="M51" s="21">
        <f t="shared" si="38"/>
        <v>1</v>
      </c>
      <c r="N51" s="21">
        <f t="shared" si="38"/>
        <v>1</v>
      </c>
      <c r="O51" s="21">
        <f t="shared" si="38"/>
        <v>1</v>
      </c>
      <c r="P51" s="21">
        <f t="shared" si="38"/>
        <v>1</v>
      </c>
      <c r="Q51" s="21">
        <f t="shared" si="38"/>
        <v>1</v>
      </c>
      <c r="R51" s="21">
        <f t="shared" si="38"/>
        <v>1</v>
      </c>
      <c r="S51" s="21">
        <f t="shared" si="38"/>
        <v>1</v>
      </c>
      <c r="T51" s="21">
        <f t="shared" si="38"/>
        <v>1</v>
      </c>
      <c r="U51" s="21">
        <f t="shared" si="38"/>
        <v>1</v>
      </c>
      <c r="V51" s="21">
        <f t="shared" si="38"/>
        <v>1</v>
      </c>
      <c r="W51" s="21">
        <f t="shared" si="38"/>
        <v>1</v>
      </c>
      <c r="X51" s="21">
        <f t="shared" si="38"/>
        <v>1</v>
      </c>
      <c r="Y51" s="21">
        <f t="shared" si="38"/>
        <v>1</v>
      </c>
      <c r="Z51" s="21">
        <f t="shared" si="38"/>
        <v>1</v>
      </c>
      <c r="AA51" s="21">
        <f t="shared" si="38"/>
        <v>1</v>
      </c>
      <c r="AB51" s="21">
        <f t="shared" si="38"/>
        <v>1</v>
      </c>
      <c r="AC51" s="21">
        <f t="shared" si="38"/>
        <v>1</v>
      </c>
      <c r="AD51" s="21">
        <f t="shared" si="38"/>
        <v>1</v>
      </c>
      <c r="AE51" s="21">
        <f t="shared" si="38"/>
        <v>1</v>
      </c>
      <c r="AF51" s="21">
        <f t="shared" si="38"/>
        <v>1</v>
      </c>
      <c r="AM51" s="67"/>
      <c r="AN51" s="100"/>
      <c r="AO51" s="60">
        <v>1</v>
      </c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6"/>
      <c r="BG51" s="16"/>
      <c r="BH51" s="16"/>
      <c r="BI51" s="16"/>
      <c r="BJ51" s="16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7"/>
      <c r="CA51" s="52">
        <f>CA50*AO51</f>
        <v>0</v>
      </c>
      <c r="CB51" s="34">
        <f t="shared" ref="CB51" si="39">IF(SUM(AP51:BY51)&lt;=0,1*0,SUM(AP51:BY51))</f>
        <v>0</v>
      </c>
      <c r="CC51" s="56"/>
      <c r="CD51" s="55">
        <f>CB51-CA50+CC51</f>
        <v>0</v>
      </c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</row>
    <row r="52" spans="3:162" s="9" customFormat="1" ht="9" customHeight="1" x14ac:dyDescent="0.15"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M52" s="64"/>
      <c r="AN52" s="97"/>
      <c r="AO52" s="57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16"/>
      <c r="BG52" s="16"/>
      <c r="BH52" s="16"/>
      <c r="BI52" s="16"/>
      <c r="BJ52" s="16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6" t="s">
        <v>0</v>
      </c>
      <c r="CA52" s="33">
        <f>IF(SUM(AP52:BY52)&lt;=0,1*0,SUM(AP52:BY52))</f>
        <v>0</v>
      </c>
      <c r="CB52" s="50">
        <f t="shared" ref="CB52" si="40">CB53*AO53</f>
        <v>0</v>
      </c>
      <c r="CC52" s="51">
        <f>CC53*AO53</f>
        <v>0</v>
      </c>
      <c r="CD52" s="51">
        <f>CD53*AO53</f>
        <v>0</v>
      </c>
      <c r="CH52" s="10"/>
      <c r="CI52" s="10"/>
      <c r="CJ52" s="10"/>
      <c r="CK52" s="10"/>
      <c r="CL52" s="10"/>
      <c r="CM52" s="10"/>
      <c r="CN52" s="10"/>
      <c r="CO52" s="10"/>
      <c r="CP52" s="10"/>
      <c r="CQ52" s="10"/>
      <c r="CS52" s="10"/>
      <c r="CT52" s="10"/>
      <c r="CU52" s="10"/>
      <c r="CV52" s="10"/>
      <c r="CW52" s="10"/>
      <c r="CX52" s="10"/>
      <c r="CY52" s="10"/>
      <c r="CZ52" s="10"/>
      <c r="DA52" s="10"/>
      <c r="DB52" s="10"/>
      <c r="DC52" s="10"/>
      <c r="DD52" s="10"/>
      <c r="DE52" s="10"/>
      <c r="DF52" s="10"/>
      <c r="DG52" s="10"/>
      <c r="DH52" s="10"/>
      <c r="DI52" s="10"/>
      <c r="DJ52" s="10"/>
      <c r="DK52" s="10"/>
      <c r="DL52" s="10"/>
      <c r="DM52" s="10"/>
      <c r="DN52" s="10"/>
      <c r="DO52" s="10"/>
      <c r="DP52" s="10"/>
      <c r="DQ52" s="10"/>
      <c r="DR52" s="10"/>
      <c r="DS52" s="10"/>
      <c r="DT52" s="10"/>
      <c r="DU52" s="10"/>
      <c r="DV52" s="10"/>
      <c r="DW52" s="10"/>
      <c r="DX52" s="10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  <c r="EP52" s="10"/>
      <c r="EQ52" s="10"/>
      <c r="ER52" s="10"/>
      <c r="ES52" s="10"/>
      <c r="ET52" s="10"/>
      <c r="EU52" s="10"/>
      <c r="EV52" s="10"/>
      <c r="EW52" s="10"/>
      <c r="EX52" s="10"/>
      <c r="EY52" s="10"/>
      <c r="EZ52" s="10"/>
      <c r="FA52" s="10"/>
      <c r="FB52" s="10"/>
      <c r="FC52" s="10"/>
      <c r="FD52" s="10"/>
      <c r="FE52" s="10"/>
      <c r="FF52" s="10"/>
    </row>
    <row r="53" spans="3:162" s="9" customFormat="1" ht="9" customHeight="1" x14ac:dyDescent="0.15">
      <c r="C53" s="23">
        <f>AO53</f>
        <v>1</v>
      </c>
      <c r="D53" s="23">
        <f t="shared" ref="D53:AF53" si="41">C53</f>
        <v>1</v>
      </c>
      <c r="E53" s="23">
        <f t="shared" si="41"/>
        <v>1</v>
      </c>
      <c r="F53" s="23">
        <f t="shared" si="41"/>
        <v>1</v>
      </c>
      <c r="G53" s="23">
        <f t="shared" si="41"/>
        <v>1</v>
      </c>
      <c r="H53" s="23">
        <f t="shared" si="41"/>
        <v>1</v>
      </c>
      <c r="I53" s="23">
        <f t="shared" si="41"/>
        <v>1</v>
      </c>
      <c r="J53" s="23">
        <f t="shared" si="41"/>
        <v>1</v>
      </c>
      <c r="K53" s="23">
        <f t="shared" si="41"/>
        <v>1</v>
      </c>
      <c r="L53" s="23">
        <f t="shared" si="41"/>
        <v>1</v>
      </c>
      <c r="M53" s="23">
        <f t="shared" si="41"/>
        <v>1</v>
      </c>
      <c r="N53" s="23">
        <f t="shared" si="41"/>
        <v>1</v>
      </c>
      <c r="O53" s="23">
        <f t="shared" si="41"/>
        <v>1</v>
      </c>
      <c r="P53" s="23">
        <f t="shared" si="41"/>
        <v>1</v>
      </c>
      <c r="Q53" s="23">
        <f t="shared" si="41"/>
        <v>1</v>
      </c>
      <c r="R53" s="23">
        <f t="shared" si="41"/>
        <v>1</v>
      </c>
      <c r="S53" s="23">
        <f t="shared" si="41"/>
        <v>1</v>
      </c>
      <c r="T53" s="23">
        <f t="shared" si="41"/>
        <v>1</v>
      </c>
      <c r="U53" s="23">
        <f t="shared" si="41"/>
        <v>1</v>
      </c>
      <c r="V53" s="23">
        <f t="shared" si="41"/>
        <v>1</v>
      </c>
      <c r="W53" s="23">
        <f t="shared" si="41"/>
        <v>1</v>
      </c>
      <c r="X53" s="23">
        <f t="shared" si="41"/>
        <v>1</v>
      </c>
      <c r="Y53" s="23">
        <f t="shared" si="41"/>
        <v>1</v>
      </c>
      <c r="Z53" s="23">
        <f t="shared" si="41"/>
        <v>1</v>
      </c>
      <c r="AA53" s="23">
        <f t="shared" si="41"/>
        <v>1</v>
      </c>
      <c r="AB53" s="23">
        <f t="shared" si="41"/>
        <v>1</v>
      </c>
      <c r="AC53" s="23">
        <f t="shared" si="41"/>
        <v>1</v>
      </c>
      <c r="AD53" s="23">
        <f t="shared" si="41"/>
        <v>1</v>
      </c>
      <c r="AE53" s="23">
        <f t="shared" si="41"/>
        <v>1</v>
      </c>
      <c r="AF53" s="23">
        <f t="shared" si="41"/>
        <v>1</v>
      </c>
      <c r="AM53" s="65"/>
      <c r="AN53" s="98"/>
      <c r="AO53" s="58">
        <v>1</v>
      </c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16"/>
      <c r="BG53" s="16"/>
      <c r="BH53" s="16"/>
      <c r="BI53" s="16"/>
      <c r="BJ53" s="16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7"/>
      <c r="CA53" s="49">
        <f>CA52*AO53</f>
        <v>0</v>
      </c>
      <c r="CB53" s="34">
        <f t="shared" ref="CB53" si="42">IF(SUM(AP53:BY53)&lt;=0,1*0,SUM(AP53:BY53))</f>
        <v>0</v>
      </c>
      <c r="CC53" s="36"/>
      <c r="CD53" s="35">
        <f>CB53-CA52+CC53</f>
        <v>0</v>
      </c>
      <c r="CH53" s="10"/>
      <c r="CI53" s="10"/>
      <c r="CJ53" s="10"/>
      <c r="CK53" s="10"/>
      <c r="CL53" s="10"/>
      <c r="CM53" s="10"/>
      <c r="CN53" s="10"/>
      <c r="CO53" s="10"/>
      <c r="CP53" s="10"/>
      <c r="CQ53" s="10"/>
      <c r="CS53" s="10"/>
      <c r="CT53" s="10"/>
      <c r="CU53" s="10"/>
      <c r="CV53" s="10"/>
      <c r="CW53" s="10"/>
      <c r="CX53" s="10"/>
      <c r="CY53" s="10"/>
      <c r="CZ53" s="10"/>
      <c r="DA53" s="10"/>
      <c r="DB53" s="10"/>
      <c r="DC53" s="10"/>
      <c r="DD53" s="10"/>
      <c r="DE53" s="10"/>
      <c r="DF53" s="10"/>
      <c r="DG53" s="10"/>
      <c r="DH53" s="10"/>
      <c r="DI53" s="10"/>
      <c r="DJ53" s="10"/>
      <c r="DK53" s="10"/>
      <c r="DL53" s="10"/>
      <c r="DM53" s="10"/>
      <c r="DN53" s="10"/>
      <c r="DO53" s="10"/>
      <c r="DP53" s="10"/>
      <c r="DQ53" s="10"/>
      <c r="DR53" s="10"/>
      <c r="DS53" s="10"/>
      <c r="DT53" s="10"/>
      <c r="DU53" s="10"/>
      <c r="DV53" s="10"/>
      <c r="DW53" s="10"/>
      <c r="DX53" s="10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  <c r="EP53" s="10"/>
      <c r="EQ53" s="10"/>
      <c r="ER53" s="10"/>
      <c r="ES53" s="10"/>
      <c r="ET53" s="10"/>
      <c r="EU53" s="10"/>
      <c r="EV53" s="10"/>
      <c r="EW53" s="10"/>
      <c r="EX53" s="10"/>
      <c r="EY53" s="10"/>
      <c r="EZ53" s="10"/>
      <c r="FA53" s="10"/>
      <c r="FB53" s="10"/>
      <c r="FC53" s="10"/>
      <c r="FD53" s="10"/>
      <c r="FE53" s="10"/>
      <c r="FF53" s="10"/>
    </row>
    <row r="54" spans="3:162" s="11" customFormat="1" ht="9" customHeight="1" x14ac:dyDescent="0.15"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M54" s="66"/>
      <c r="AN54" s="99"/>
      <c r="AO54" s="59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16"/>
      <c r="BG54" s="16"/>
      <c r="BH54" s="16"/>
      <c r="BI54" s="16"/>
      <c r="BJ54" s="16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6" t="s">
        <v>0</v>
      </c>
      <c r="CA54" s="53">
        <f>IF(SUM(AP54:BY54)&lt;=0,1*0,SUM(AP54:BY54))</f>
        <v>0</v>
      </c>
      <c r="CB54" s="50">
        <f t="shared" ref="CB54" si="43">CB55*AO55</f>
        <v>0</v>
      </c>
      <c r="CC54" s="54">
        <f>CC55*AO55</f>
        <v>0</v>
      </c>
      <c r="CD54" s="54">
        <f>CD55*AO55</f>
        <v>0</v>
      </c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</row>
    <row r="55" spans="3:162" s="11" customFormat="1" ht="9" customHeight="1" x14ac:dyDescent="0.15">
      <c r="C55" s="21">
        <f>AO55</f>
        <v>1</v>
      </c>
      <c r="D55" s="21">
        <f t="shared" ref="D55:AF55" si="44">C55</f>
        <v>1</v>
      </c>
      <c r="E55" s="21">
        <f t="shared" si="44"/>
        <v>1</v>
      </c>
      <c r="F55" s="21">
        <f t="shared" si="44"/>
        <v>1</v>
      </c>
      <c r="G55" s="21">
        <f t="shared" si="44"/>
        <v>1</v>
      </c>
      <c r="H55" s="21">
        <f t="shared" si="44"/>
        <v>1</v>
      </c>
      <c r="I55" s="21">
        <f t="shared" si="44"/>
        <v>1</v>
      </c>
      <c r="J55" s="21">
        <f t="shared" si="44"/>
        <v>1</v>
      </c>
      <c r="K55" s="21">
        <f t="shared" si="44"/>
        <v>1</v>
      </c>
      <c r="L55" s="21">
        <f t="shared" si="44"/>
        <v>1</v>
      </c>
      <c r="M55" s="21">
        <f t="shared" si="44"/>
        <v>1</v>
      </c>
      <c r="N55" s="21">
        <f t="shared" si="44"/>
        <v>1</v>
      </c>
      <c r="O55" s="21">
        <f t="shared" si="44"/>
        <v>1</v>
      </c>
      <c r="P55" s="21">
        <f t="shared" si="44"/>
        <v>1</v>
      </c>
      <c r="Q55" s="21">
        <f t="shared" si="44"/>
        <v>1</v>
      </c>
      <c r="R55" s="21">
        <f t="shared" si="44"/>
        <v>1</v>
      </c>
      <c r="S55" s="21">
        <f t="shared" si="44"/>
        <v>1</v>
      </c>
      <c r="T55" s="21">
        <f t="shared" si="44"/>
        <v>1</v>
      </c>
      <c r="U55" s="21">
        <f t="shared" si="44"/>
        <v>1</v>
      </c>
      <c r="V55" s="21">
        <f t="shared" si="44"/>
        <v>1</v>
      </c>
      <c r="W55" s="21">
        <f t="shared" si="44"/>
        <v>1</v>
      </c>
      <c r="X55" s="21">
        <f t="shared" si="44"/>
        <v>1</v>
      </c>
      <c r="Y55" s="21">
        <f t="shared" si="44"/>
        <v>1</v>
      </c>
      <c r="Z55" s="21">
        <f t="shared" si="44"/>
        <v>1</v>
      </c>
      <c r="AA55" s="21">
        <f t="shared" si="44"/>
        <v>1</v>
      </c>
      <c r="AB55" s="21">
        <f t="shared" si="44"/>
        <v>1</v>
      </c>
      <c r="AC55" s="21">
        <f t="shared" si="44"/>
        <v>1</v>
      </c>
      <c r="AD55" s="21">
        <f t="shared" si="44"/>
        <v>1</v>
      </c>
      <c r="AE55" s="21">
        <f t="shared" si="44"/>
        <v>1</v>
      </c>
      <c r="AF55" s="21">
        <f t="shared" si="44"/>
        <v>1</v>
      </c>
      <c r="AM55" s="67"/>
      <c r="AN55" s="100"/>
      <c r="AO55" s="60">
        <v>1</v>
      </c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16"/>
      <c r="BG55" s="16"/>
      <c r="BH55" s="16"/>
      <c r="BI55" s="16"/>
      <c r="BJ55" s="16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7"/>
      <c r="CA55" s="52">
        <f>CA54*AO55</f>
        <v>0</v>
      </c>
      <c r="CB55" s="34">
        <f t="shared" ref="CB55" si="45">IF(SUM(AP55:BY55)&lt;=0,1*0,SUM(AP55:BY55))</f>
        <v>0</v>
      </c>
      <c r="CC55" s="56"/>
      <c r="CD55" s="55">
        <f>CB55-CA54+CC55</f>
        <v>0</v>
      </c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</row>
    <row r="56" spans="3:162" s="9" customFormat="1" ht="9" customHeight="1" x14ac:dyDescent="0.15"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M56" s="64"/>
      <c r="AN56" s="97"/>
      <c r="AO56" s="57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16"/>
      <c r="BG56" s="16"/>
      <c r="BH56" s="16"/>
      <c r="BI56" s="16"/>
      <c r="BJ56" s="16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6" t="s">
        <v>0</v>
      </c>
      <c r="CA56" s="33">
        <f>IF(SUM(AP56:BY56)&lt;=0,1*0,SUM(AP56:BY56))</f>
        <v>0</v>
      </c>
      <c r="CB56" s="50">
        <f t="shared" ref="CB56" si="46">CB57*AO57</f>
        <v>0</v>
      </c>
      <c r="CC56" s="51">
        <f>CC57*AO57</f>
        <v>0</v>
      </c>
      <c r="CD56" s="51">
        <f>CD57*AO57</f>
        <v>0</v>
      </c>
      <c r="CH56" s="10"/>
      <c r="CI56" s="10"/>
      <c r="CJ56" s="10"/>
      <c r="CK56" s="10"/>
      <c r="CL56" s="10"/>
      <c r="CM56" s="10"/>
      <c r="CN56" s="10"/>
      <c r="CO56" s="10"/>
      <c r="CP56" s="10"/>
      <c r="CQ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10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  <c r="EP56" s="10"/>
      <c r="EQ56" s="10"/>
      <c r="ER56" s="10"/>
      <c r="ES56" s="10"/>
      <c r="ET56" s="10"/>
      <c r="EU56" s="10"/>
      <c r="EV56" s="10"/>
      <c r="EW56" s="10"/>
      <c r="EX56" s="10"/>
      <c r="EY56" s="10"/>
      <c r="EZ56" s="10"/>
      <c r="FA56" s="10"/>
      <c r="FB56" s="10"/>
      <c r="FC56" s="10"/>
      <c r="FD56" s="10"/>
      <c r="FE56" s="10"/>
      <c r="FF56" s="10"/>
    </row>
    <row r="57" spans="3:162" s="9" customFormat="1" ht="9" customHeight="1" x14ac:dyDescent="0.15">
      <c r="C57" s="23">
        <f>AO57</f>
        <v>1</v>
      </c>
      <c r="D57" s="23">
        <f t="shared" ref="D57:AF57" si="47">C57</f>
        <v>1</v>
      </c>
      <c r="E57" s="23">
        <f t="shared" si="47"/>
        <v>1</v>
      </c>
      <c r="F57" s="23">
        <f t="shared" si="47"/>
        <v>1</v>
      </c>
      <c r="G57" s="23">
        <f t="shared" si="47"/>
        <v>1</v>
      </c>
      <c r="H57" s="23">
        <f t="shared" si="47"/>
        <v>1</v>
      </c>
      <c r="I57" s="23">
        <f t="shared" si="47"/>
        <v>1</v>
      </c>
      <c r="J57" s="23">
        <f t="shared" si="47"/>
        <v>1</v>
      </c>
      <c r="K57" s="23">
        <f t="shared" si="47"/>
        <v>1</v>
      </c>
      <c r="L57" s="23">
        <f t="shared" si="47"/>
        <v>1</v>
      </c>
      <c r="M57" s="23">
        <f t="shared" si="47"/>
        <v>1</v>
      </c>
      <c r="N57" s="23">
        <f t="shared" si="47"/>
        <v>1</v>
      </c>
      <c r="O57" s="23">
        <f t="shared" si="47"/>
        <v>1</v>
      </c>
      <c r="P57" s="23">
        <f t="shared" si="47"/>
        <v>1</v>
      </c>
      <c r="Q57" s="23">
        <f t="shared" si="47"/>
        <v>1</v>
      </c>
      <c r="R57" s="23">
        <f t="shared" si="47"/>
        <v>1</v>
      </c>
      <c r="S57" s="23">
        <f t="shared" si="47"/>
        <v>1</v>
      </c>
      <c r="T57" s="23">
        <f t="shared" si="47"/>
        <v>1</v>
      </c>
      <c r="U57" s="23">
        <f t="shared" si="47"/>
        <v>1</v>
      </c>
      <c r="V57" s="23">
        <f t="shared" si="47"/>
        <v>1</v>
      </c>
      <c r="W57" s="23">
        <f t="shared" si="47"/>
        <v>1</v>
      </c>
      <c r="X57" s="23">
        <f t="shared" si="47"/>
        <v>1</v>
      </c>
      <c r="Y57" s="23">
        <f t="shared" si="47"/>
        <v>1</v>
      </c>
      <c r="Z57" s="23">
        <f t="shared" si="47"/>
        <v>1</v>
      </c>
      <c r="AA57" s="23">
        <f t="shared" si="47"/>
        <v>1</v>
      </c>
      <c r="AB57" s="23">
        <f t="shared" si="47"/>
        <v>1</v>
      </c>
      <c r="AC57" s="23">
        <f t="shared" si="47"/>
        <v>1</v>
      </c>
      <c r="AD57" s="23">
        <f t="shared" si="47"/>
        <v>1</v>
      </c>
      <c r="AE57" s="23">
        <f t="shared" si="47"/>
        <v>1</v>
      </c>
      <c r="AF57" s="23">
        <f t="shared" si="47"/>
        <v>1</v>
      </c>
      <c r="AM57" s="65"/>
      <c r="AN57" s="98"/>
      <c r="AO57" s="58">
        <v>1</v>
      </c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16"/>
      <c r="BG57" s="16"/>
      <c r="BH57" s="16"/>
      <c r="BI57" s="16"/>
      <c r="BJ57" s="16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7"/>
      <c r="CA57" s="49">
        <f>CA56*AO57</f>
        <v>0</v>
      </c>
      <c r="CB57" s="34">
        <f t="shared" ref="CB57" si="48">IF(SUM(AP57:BY57)&lt;=0,1*0,SUM(AP57:BY57))</f>
        <v>0</v>
      </c>
      <c r="CC57" s="36"/>
      <c r="CD57" s="35">
        <f>CB57-CA56+CC57</f>
        <v>0</v>
      </c>
      <c r="CH57" s="10"/>
      <c r="CI57" s="10"/>
      <c r="CJ57" s="10"/>
      <c r="CK57" s="10"/>
      <c r="CL57" s="10"/>
      <c r="CM57" s="10"/>
      <c r="CN57" s="10"/>
      <c r="CO57" s="10"/>
      <c r="CP57" s="10"/>
      <c r="CQ57" s="10"/>
      <c r="CS57" s="10"/>
      <c r="CT57" s="10"/>
      <c r="CU57" s="10"/>
      <c r="CV57" s="10"/>
      <c r="CW57" s="10"/>
      <c r="CX57" s="10"/>
      <c r="CY57" s="10"/>
      <c r="CZ57" s="10"/>
      <c r="DA57" s="10"/>
      <c r="DB57" s="10"/>
      <c r="DC57" s="10"/>
      <c r="DD57" s="10"/>
      <c r="DE57" s="10"/>
      <c r="DF57" s="10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  <c r="EP57" s="10"/>
      <c r="EQ57" s="10"/>
      <c r="ER57" s="10"/>
      <c r="ES57" s="10"/>
      <c r="ET57" s="10"/>
      <c r="EU57" s="10"/>
      <c r="EV57" s="10"/>
      <c r="EW57" s="10"/>
      <c r="EX57" s="10"/>
      <c r="EY57" s="10"/>
      <c r="EZ57" s="10"/>
      <c r="FA57" s="10"/>
      <c r="FB57" s="10"/>
      <c r="FC57" s="10"/>
      <c r="FD57" s="10"/>
      <c r="FE57" s="10"/>
      <c r="FF57" s="10"/>
    </row>
    <row r="58" spans="3:162" s="11" customFormat="1" ht="9" customHeight="1" x14ac:dyDescent="0.15"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M58" s="66"/>
      <c r="AN58" s="99"/>
      <c r="AO58" s="59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16"/>
      <c r="BG58" s="16"/>
      <c r="BH58" s="16"/>
      <c r="BI58" s="16"/>
      <c r="BJ58" s="16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6" t="s">
        <v>0</v>
      </c>
      <c r="CA58" s="53">
        <f>IF(SUM(AP58:BY58)&lt;=0,1*0,SUM(AP58:BY58))</f>
        <v>0</v>
      </c>
      <c r="CB58" s="50">
        <f t="shared" ref="CB58" si="49">CB59*AO59</f>
        <v>0</v>
      </c>
      <c r="CC58" s="54">
        <f>CC59*AO59</f>
        <v>0</v>
      </c>
      <c r="CD58" s="54">
        <f>CD59*AO59</f>
        <v>0</v>
      </c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</row>
    <row r="59" spans="3:162" s="11" customFormat="1" ht="9" customHeight="1" x14ac:dyDescent="0.15">
      <c r="C59" s="21">
        <f>AO59</f>
        <v>1</v>
      </c>
      <c r="D59" s="21">
        <f t="shared" ref="D59:AF59" si="50">C59</f>
        <v>1</v>
      </c>
      <c r="E59" s="21">
        <f t="shared" si="50"/>
        <v>1</v>
      </c>
      <c r="F59" s="21">
        <f t="shared" si="50"/>
        <v>1</v>
      </c>
      <c r="G59" s="21">
        <f t="shared" si="50"/>
        <v>1</v>
      </c>
      <c r="H59" s="21">
        <f t="shared" si="50"/>
        <v>1</v>
      </c>
      <c r="I59" s="21">
        <f t="shared" si="50"/>
        <v>1</v>
      </c>
      <c r="J59" s="21">
        <f t="shared" si="50"/>
        <v>1</v>
      </c>
      <c r="K59" s="21">
        <f t="shared" si="50"/>
        <v>1</v>
      </c>
      <c r="L59" s="21">
        <f t="shared" si="50"/>
        <v>1</v>
      </c>
      <c r="M59" s="21">
        <f t="shared" si="50"/>
        <v>1</v>
      </c>
      <c r="N59" s="21">
        <f t="shared" si="50"/>
        <v>1</v>
      </c>
      <c r="O59" s="21">
        <f t="shared" si="50"/>
        <v>1</v>
      </c>
      <c r="P59" s="21">
        <f t="shared" si="50"/>
        <v>1</v>
      </c>
      <c r="Q59" s="21">
        <f t="shared" si="50"/>
        <v>1</v>
      </c>
      <c r="R59" s="21">
        <f t="shared" si="50"/>
        <v>1</v>
      </c>
      <c r="S59" s="21">
        <f t="shared" si="50"/>
        <v>1</v>
      </c>
      <c r="T59" s="21">
        <f t="shared" si="50"/>
        <v>1</v>
      </c>
      <c r="U59" s="21">
        <f t="shared" si="50"/>
        <v>1</v>
      </c>
      <c r="V59" s="21">
        <f t="shared" si="50"/>
        <v>1</v>
      </c>
      <c r="W59" s="21">
        <f t="shared" si="50"/>
        <v>1</v>
      </c>
      <c r="X59" s="21">
        <f t="shared" si="50"/>
        <v>1</v>
      </c>
      <c r="Y59" s="21">
        <f t="shared" si="50"/>
        <v>1</v>
      </c>
      <c r="Z59" s="21">
        <f t="shared" si="50"/>
        <v>1</v>
      </c>
      <c r="AA59" s="21">
        <f t="shared" si="50"/>
        <v>1</v>
      </c>
      <c r="AB59" s="21">
        <f t="shared" si="50"/>
        <v>1</v>
      </c>
      <c r="AC59" s="21">
        <f t="shared" si="50"/>
        <v>1</v>
      </c>
      <c r="AD59" s="21">
        <f t="shared" si="50"/>
        <v>1</v>
      </c>
      <c r="AE59" s="21">
        <f t="shared" si="50"/>
        <v>1</v>
      </c>
      <c r="AF59" s="21">
        <f t="shared" si="50"/>
        <v>1</v>
      </c>
      <c r="AM59" s="67"/>
      <c r="AN59" s="100"/>
      <c r="AO59" s="60">
        <v>1</v>
      </c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6"/>
      <c r="BG59" s="16"/>
      <c r="BH59" s="16"/>
      <c r="BI59" s="16"/>
      <c r="BJ59" s="16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7"/>
      <c r="CA59" s="52">
        <f>CA58*AO59</f>
        <v>0</v>
      </c>
      <c r="CB59" s="34">
        <f t="shared" ref="CB59" si="51">IF(SUM(AP59:BY59)&lt;=0,1*0,SUM(AP59:BY59))</f>
        <v>0</v>
      </c>
      <c r="CC59" s="56"/>
      <c r="CD59" s="55">
        <f>CB59-CA58+CC59</f>
        <v>0</v>
      </c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2"/>
      <c r="EJ59" s="12"/>
      <c r="EK59" s="12"/>
      <c r="EL59" s="12"/>
      <c r="EM59" s="12"/>
      <c r="EN59" s="12"/>
      <c r="EO59" s="12"/>
      <c r="EP59" s="12"/>
      <c r="EQ59" s="12"/>
      <c r="ER59" s="12"/>
      <c r="ES59" s="12"/>
      <c r="ET59" s="12"/>
      <c r="EU59" s="12"/>
      <c r="EV59" s="12"/>
      <c r="EW59" s="12"/>
      <c r="EX59" s="12"/>
      <c r="EY59" s="12"/>
      <c r="EZ59" s="12"/>
      <c r="FA59" s="12"/>
      <c r="FB59" s="12"/>
      <c r="FC59" s="12"/>
      <c r="FD59" s="12"/>
      <c r="FE59" s="12"/>
      <c r="FF59" s="12"/>
    </row>
    <row r="60" spans="3:162" s="9" customFormat="1" ht="9" customHeight="1" x14ac:dyDescent="0.15"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M60" s="64"/>
      <c r="AN60" s="97"/>
      <c r="AO60" s="57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16"/>
      <c r="BG60" s="16"/>
      <c r="BH60" s="16"/>
      <c r="BI60" s="16"/>
      <c r="BJ60" s="16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6" t="s">
        <v>0</v>
      </c>
      <c r="CA60" s="33">
        <f>IF(SUM(AP60:BY60)&lt;=0,1*0,SUM(AP60:BY60))</f>
        <v>0</v>
      </c>
      <c r="CB60" s="50">
        <f t="shared" ref="CB60" si="52">CB61*AO61</f>
        <v>0</v>
      </c>
      <c r="CC60" s="51">
        <f>CC61*AO61</f>
        <v>0</v>
      </c>
      <c r="CD60" s="51">
        <f>CD61*AO61</f>
        <v>0</v>
      </c>
      <c r="CH60" s="10"/>
      <c r="CI60" s="10"/>
      <c r="CJ60" s="10"/>
      <c r="CK60" s="10"/>
      <c r="CL60" s="10"/>
      <c r="CM60" s="10"/>
      <c r="CN60" s="10"/>
      <c r="CO60" s="10"/>
      <c r="CP60" s="10"/>
      <c r="CQ60" s="10"/>
      <c r="CS60" s="10"/>
      <c r="CT60" s="10"/>
      <c r="CU60" s="10"/>
      <c r="CV60" s="10"/>
      <c r="CW60" s="10"/>
      <c r="CX60" s="10"/>
      <c r="CY60" s="10"/>
      <c r="CZ60" s="10"/>
      <c r="DA60" s="10"/>
      <c r="DB60" s="10"/>
      <c r="DC60" s="10"/>
      <c r="DD60" s="10"/>
      <c r="DE60" s="10"/>
      <c r="DF60" s="10"/>
      <c r="DG60" s="10"/>
      <c r="DH60" s="10"/>
      <c r="DI60" s="10"/>
      <c r="DJ60" s="10"/>
      <c r="DK60" s="10"/>
      <c r="DL60" s="10"/>
      <c r="DM60" s="10"/>
      <c r="DN60" s="10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  <c r="EP60" s="10"/>
      <c r="EQ60" s="10"/>
      <c r="ER60" s="10"/>
      <c r="ES60" s="10"/>
      <c r="ET60" s="10"/>
      <c r="EU60" s="10"/>
      <c r="EV60" s="10"/>
      <c r="EW60" s="10"/>
      <c r="EX60" s="10"/>
      <c r="EY60" s="10"/>
      <c r="EZ60" s="10"/>
      <c r="FA60" s="10"/>
      <c r="FB60" s="10"/>
      <c r="FC60" s="10"/>
      <c r="FD60" s="10"/>
      <c r="FE60" s="10"/>
      <c r="FF60" s="10"/>
    </row>
    <row r="61" spans="3:162" s="9" customFormat="1" ht="9" customHeight="1" x14ac:dyDescent="0.15">
      <c r="C61" s="23">
        <f>AO61</f>
        <v>1</v>
      </c>
      <c r="D61" s="23">
        <f t="shared" ref="D61:AF61" si="53">C61</f>
        <v>1</v>
      </c>
      <c r="E61" s="23">
        <f t="shared" si="53"/>
        <v>1</v>
      </c>
      <c r="F61" s="23">
        <f t="shared" si="53"/>
        <v>1</v>
      </c>
      <c r="G61" s="23">
        <f t="shared" si="53"/>
        <v>1</v>
      </c>
      <c r="H61" s="23">
        <f t="shared" si="53"/>
        <v>1</v>
      </c>
      <c r="I61" s="23">
        <f t="shared" si="53"/>
        <v>1</v>
      </c>
      <c r="J61" s="23">
        <f t="shared" si="53"/>
        <v>1</v>
      </c>
      <c r="K61" s="23">
        <f t="shared" si="53"/>
        <v>1</v>
      </c>
      <c r="L61" s="23">
        <f t="shared" si="53"/>
        <v>1</v>
      </c>
      <c r="M61" s="23">
        <f t="shared" si="53"/>
        <v>1</v>
      </c>
      <c r="N61" s="23">
        <f t="shared" si="53"/>
        <v>1</v>
      </c>
      <c r="O61" s="23">
        <f t="shared" si="53"/>
        <v>1</v>
      </c>
      <c r="P61" s="23">
        <f t="shared" si="53"/>
        <v>1</v>
      </c>
      <c r="Q61" s="23">
        <f t="shared" si="53"/>
        <v>1</v>
      </c>
      <c r="R61" s="23">
        <f t="shared" si="53"/>
        <v>1</v>
      </c>
      <c r="S61" s="23">
        <f t="shared" si="53"/>
        <v>1</v>
      </c>
      <c r="T61" s="23">
        <f t="shared" si="53"/>
        <v>1</v>
      </c>
      <c r="U61" s="23">
        <f t="shared" si="53"/>
        <v>1</v>
      </c>
      <c r="V61" s="23">
        <f t="shared" si="53"/>
        <v>1</v>
      </c>
      <c r="W61" s="23">
        <f t="shared" si="53"/>
        <v>1</v>
      </c>
      <c r="X61" s="23">
        <f t="shared" si="53"/>
        <v>1</v>
      </c>
      <c r="Y61" s="23">
        <f t="shared" si="53"/>
        <v>1</v>
      </c>
      <c r="Z61" s="23">
        <f t="shared" si="53"/>
        <v>1</v>
      </c>
      <c r="AA61" s="23">
        <f t="shared" si="53"/>
        <v>1</v>
      </c>
      <c r="AB61" s="23">
        <f t="shared" si="53"/>
        <v>1</v>
      </c>
      <c r="AC61" s="23">
        <f t="shared" si="53"/>
        <v>1</v>
      </c>
      <c r="AD61" s="23">
        <f t="shared" si="53"/>
        <v>1</v>
      </c>
      <c r="AE61" s="23">
        <f t="shared" si="53"/>
        <v>1</v>
      </c>
      <c r="AF61" s="23">
        <f t="shared" si="53"/>
        <v>1</v>
      </c>
      <c r="AM61" s="65"/>
      <c r="AN61" s="98"/>
      <c r="AO61" s="58">
        <v>1</v>
      </c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16"/>
      <c r="BG61" s="16"/>
      <c r="BH61" s="16"/>
      <c r="BI61" s="16"/>
      <c r="BJ61" s="16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7"/>
      <c r="CA61" s="49">
        <f>CA60*AO61</f>
        <v>0</v>
      </c>
      <c r="CB61" s="34">
        <f t="shared" ref="CB61" si="54">IF(SUM(AP61:BY61)&lt;=0,1*0,SUM(AP61:BY61))</f>
        <v>0</v>
      </c>
      <c r="CC61" s="36"/>
      <c r="CD61" s="35">
        <f>CB61-CA60+CC61</f>
        <v>0</v>
      </c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  <c r="EP61" s="10"/>
      <c r="EQ61" s="10"/>
      <c r="ER61" s="10"/>
      <c r="ES61" s="10"/>
      <c r="ET61" s="10"/>
      <c r="EU61" s="10"/>
      <c r="EV61" s="10"/>
      <c r="EW61" s="10"/>
      <c r="EX61" s="10"/>
      <c r="EY61" s="10"/>
      <c r="EZ61" s="10"/>
      <c r="FA61" s="10"/>
      <c r="FB61" s="10"/>
      <c r="FC61" s="10"/>
      <c r="FD61" s="10"/>
      <c r="FE61" s="10"/>
      <c r="FF61" s="10"/>
    </row>
    <row r="62" spans="3:162" s="11" customFormat="1" ht="9" customHeight="1" x14ac:dyDescent="0.15"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M62" s="66"/>
      <c r="AN62" s="99"/>
      <c r="AO62" s="59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16"/>
      <c r="BG62" s="16"/>
      <c r="BH62" s="16"/>
      <c r="BI62" s="16"/>
      <c r="BJ62" s="16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6" t="s">
        <v>0</v>
      </c>
      <c r="CA62" s="53">
        <f>IF(SUM(AP62:BY62)&lt;=0,1*0,SUM(AP62:BY62))</f>
        <v>0</v>
      </c>
      <c r="CB62" s="50">
        <f t="shared" ref="CB62" si="55">CB63*AO63</f>
        <v>0</v>
      </c>
      <c r="CC62" s="54">
        <f>CC63*AO63</f>
        <v>0</v>
      </c>
      <c r="CD62" s="54">
        <f>CD63*AO63</f>
        <v>0</v>
      </c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</row>
    <row r="63" spans="3:162" s="11" customFormat="1" ht="9" customHeight="1" x14ac:dyDescent="0.15">
      <c r="C63" s="21">
        <f>AO63</f>
        <v>1</v>
      </c>
      <c r="D63" s="21">
        <f t="shared" ref="D63:AF63" si="56">C63</f>
        <v>1</v>
      </c>
      <c r="E63" s="21">
        <f t="shared" si="56"/>
        <v>1</v>
      </c>
      <c r="F63" s="21">
        <f t="shared" si="56"/>
        <v>1</v>
      </c>
      <c r="G63" s="21">
        <f t="shared" si="56"/>
        <v>1</v>
      </c>
      <c r="H63" s="21">
        <f t="shared" si="56"/>
        <v>1</v>
      </c>
      <c r="I63" s="21">
        <f t="shared" si="56"/>
        <v>1</v>
      </c>
      <c r="J63" s="21">
        <f t="shared" si="56"/>
        <v>1</v>
      </c>
      <c r="K63" s="21">
        <f t="shared" si="56"/>
        <v>1</v>
      </c>
      <c r="L63" s="21">
        <f t="shared" si="56"/>
        <v>1</v>
      </c>
      <c r="M63" s="21">
        <f t="shared" si="56"/>
        <v>1</v>
      </c>
      <c r="N63" s="21">
        <f t="shared" si="56"/>
        <v>1</v>
      </c>
      <c r="O63" s="21">
        <f t="shared" si="56"/>
        <v>1</v>
      </c>
      <c r="P63" s="21">
        <f t="shared" si="56"/>
        <v>1</v>
      </c>
      <c r="Q63" s="21">
        <f t="shared" si="56"/>
        <v>1</v>
      </c>
      <c r="R63" s="21">
        <f t="shared" si="56"/>
        <v>1</v>
      </c>
      <c r="S63" s="21">
        <f t="shared" si="56"/>
        <v>1</v>
      </c>
      <c r="T63" s="21">
        <f t="shared" si="56"/>
        <v>1</v>
      </c>
      <c r="U63" s="21">
        <f t="shared" si="56"/>
        <v>1</v>
      </c>
      <c r="V63" s="21">
        <f t="shared" si="56"/>
        <v>1</v>
      </c>
      <c r="W63" s="21">
        <f t="shared" si="56"/>
        <v>1</v>
      </c>
      <c r="X63" s="21">
        <f t="shared" si="56"/>
        <v>1</v>
      </c>
      <c r="Y63" s="21">
        <f t="shared" si="56"/>
        <v>1</v>
      </c>
      <c r="Z63" s="21">
        <f t="shared" si="56"/>
        <v>1</v>
      </c>
      <c r="AA63" s="21">
        <f t="shared" si="56"/>
        <v>1</v>
      </c>
      <c r="AB63" s="21">
        <f t="shared" si="56"/>
        <v>1</v>
      </c>
      <c r="AC63" s="21">
        <f t="shared" si="56"/>
        <v>1</v>
      </c>
      <c r="AD63" s="21">
        <f t="shared" si="56"/>
        <v>1</v>
      </c>
      <c r="AE63" s="21">
        <f t="shared" si="56"/>
        <v>1</v>
      </c>
      <c r="AF63" s="21">
        <f t="shared" si="56"/>
        <v>1</v>
      </c>
      <c r="AM63" s="67"/>
      <c r="AN63" s="100"/>
      <c r="AO63" s="60">
        <v>1</v>
      </c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6"/>
      <c r="BG63" s="16"/>
      <c r="BH63" s="16"/>
      <c r="BI63" s="16"/>
      <c r="BJ63" s="16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7"/>
      <c r="CA63" s="52">
        <f>CA62*AO63</f>
        <v>0</v>
      </c>
      <c r="CB63" s="34">
        <f t="shared" ref="CB63" si="57">IF(SUM(AP63:BY63)&lt;=0,1*0,SUM(AP63:BY63))</f>
        <v>0</v>
      </c>
      <c r="CC63" s="56"/>
      <c r="CD63" s="55">
        <f>CB63-CA62+CC63</f>
        <v>0</v>
      </c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</row>
    <row r="64" spans="3:162" s="9" customFormat="1" ht="9" customHeight="1" x14ac:dyDescent="0.15"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M64" s="64"/>
      <c r="AN64" s="97"/>
      <c r="AO64" s="57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16"/>
      <c r="BG64" s="16"/>
      <c r="BH64" s="16"/>
      <c r="BI64" s="16"/>
      <c r="BJ64" s="16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6" t="s">
        <v>0</v>
      </c>
      <c r="CA64" s="33">
        <f>IF(SUM(AP64:BY64)&lt;=0,1*0,SUM(AP64:BY64))</f>
        <v>0</v>
      </c>
      <c r="CB64" s="50">
        <f t="shared" ref="CB64" si="58">CB65*AO65</f>
        <v>0</v>
      </c>
      <c r="CC64" s="51">
        <f>CC65*AO65</f>
        <v>0</v>
      </c>
      <c r="CD64" s="51">
        <f>CD65*AO65</f>
        <v>0</v>
      </c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S64" s="10"/>
      <c r="CT64" s="10"/>
      <c r="CU64" s="10"/>
      <c r="CV64" s="10"/>
      <c r="CW64" s="1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  <c r="EP64" s="10"/>
      <c r="EQ64" s="10"/>
      <c r="ER64" s="10"/>
      <c r="ES64" s="10"/>
      <c r="ET64" s="10"/>
      <c r="EU64" s="10"/>
      <c r="EV64" s="10"/>
      <c r="EW64" s="10"/>
      <c r="EX64" s="10"/>
      <c r="EY64" s="10"/>
      <c r="EZ64" s="10"/>
      <c r="FA64" s="10"/>
      <c r="FB64" s="10"/>
      <c r="FC64" s="10"/>
      <c r="FD64" s="10"/>
      <c r="FE64" s="10"/>
      <c r="FF64" s="10"/>
    </row>
    <row r="65" spans="1:162" s="9" customFormat="1" ht="9" customHeight="1" x14ac:dyDescent="0.15">
      <c r="C65" s="23">
        <f>AO65</f>
        <v>1</v>
      </c>
      <c r="D65" s="23">
        <f t="shared" ref="D65:AF65" si="59">C65</f>
        <v>1</v>
      </c>
      <c r="E65" s="23">
        <f t="shared" si="59"/>
        <v>1</v>
      </c>
      <c r="F65" s="23">
        <f t="shared" si="59"/>
        <v>1</v>
      </c>
      <c r="G65" s="23">
        <f t="shared" si="59"/>
        <v>1</v>
      </c>
      <c r="H65" s="23">
        <f t="shared" si="59"/>
        <v>1</v>
      </c>
      <c r="I65" s="23">
        <f t="shared" si="59"/>
        <v>1</v>
      </c>
      <c r="J65" s="23">
        <f t="shared" si="59"/>
        <v>1</v>
      </c>
      <c r="K65" s="23">
        <f t="shared" si="59"/>
        <v>1</v>
      </c>
      <c r="L65" s="23">
        <f t="shared" si="59"/>
        <v>1</v>
      </c>
      <c r="M65" s="23">
        <f t="shared" si="59"/>
        <v>1</v>
      </c>
      <c r="N65" s="23">
        <f t="shared" si="59"/>
        <v>1</v>
      </c>
      <c r="O65" s="23">
        <f t="shared" si="59"/>
        <v>1</v>
      </c>
      <c r="P65" s="23">
        <f t="shared" si="59"/>
        <v>1</v>
      </c>
      <c r="Q65" s="23">
        <f t="shared" si="59"/>
        <v>1</v>
      </c>
      <c r="R65" s="23">
        <f t="shared" si="59"/>
        <v>1</v>
      </c>
      <c r="S65" s="23">
        <f t="shared" si="59"/>
        <v>1</v>
      </c>
      <c r="T65" s="23">
        <f t="shared" si="59"/>
        <v>1</v>
      </c>
      <c r="U65" s="23">
        <f t="shared" si="59"/>
        <v>1</v>
      </c>
      <c r="V65" s="23">
        <f t="shared" si="59"/>
        <v>1</v>
      </c>
      <c r="W65" s="23">
        <f t="shared" si="59"/>
        <v>1</v>
      </c>
      <c r="X65" s="23">
        <f t="shared" si="59"/>
        <v>1</v>
      </c>
      <c r="Y65" s="23">
        <f t="shared" si="59"/>
        <v>1</v>
      </c>
      <c r="Z65" s="23">
        <f t="shared" si="59"/>
        <v>1</v>
      </c>
      <c r="AA65" s="23">
        <f t="shared" si="59"/>
        <v>1</v>
      </c>
      <c r="AB65" s="23">
        <f t="shared" si="59"/>
        <v>1</v>
      </c>
      <c r="AC65" s="23">
        <f t="shared" si="59"/>
        <v>1</v>
      </c>
      <c r="AD65" s="23">
        <f t="shared" si="59"/>
        <v>1</v>
      </c>
      <c r="AE65" s="23">
        <f t="shared" si="59"/>
        <v>1</v>
      </c>
      <c r="AF65" s="23">
        <f t="shared" si="59"/>
        <v>1</v>
      </c>
      <c r="AM65" s="65"/>
      <c r="AN65" s="98"/>
      <c r="AO65" s="58">
        <v>1</v>
      </c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16"/>
      <c r="BG65" s="16"/>
      <c r="BH65" s="16"/>
      <c r="BI65" s="16"/>
      <c r="BJ65" s="16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7"/>
      <c r="CA65" s="49">
        <f>CA64*AO65</f>
        <v>0</v>
      </c>
      <c r="CB65" s="34">
        <f t="shared" ref="CB65" si="60">IF(SUM(AP65:BY65)&lt;=0,1*0,SUM(AP65:BY65))</f>
        <v>0</v>
      </c>
      <c r="CC65" s="36"/>
      <c r="CD65" s="35">
        <f>CB65-CA64+CC65</f>
        <v>0</v>
      </c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  <c r="EP65" s="10"/>
      <c r="EQ65" s="10"/>
      <c r="ER65" s="10"/>
      <c r="ES65" s="10"/>
      <c r="ET65" s="10"/>
      <c r="EU65" s="10"/>
      <c r="EV65" s="10"/>
      <c r="EW65" s="10"/>
      <c r="EX65" s="10"/>
      <c r="EY65" s="10"/>
      <c r="EZ65" s="10"/>
      <c r="FA65" s="10"/>
      <c r="FB65" s="10"/>
      <c r="FC65" s="10"/>
      <c r="FD65" s="10"/>
      <c r="FE65" s="10"/>
      <c r="FF65" s="10"/>
    </row>
    <row r="66" spans="1:162" s="11" customFormat="1" ht="9" customHeight="1" x14ac:dyDescent="0.25"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M66" s="66"/>
      <c r="AN66" s="99"/>
      <c r="AO66" s="59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16"/>
      <c r="BG66" s="16"/>
      <c r="BH66" s="16"/>
      <c r="BI66" s="16"/>
      <c r="BJ66" s="16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6" t="s">
        <v>0</v>
      </c>
      <c r="CA66" s="53">
        <f>IF(SUM(AP66:BY66)&lt;=0,1*0,SUM(AP66:BY66))</f>
        <v>0</v>
      </c>
      <c r="CB66" s="50">
        <f t="shared" ref="CB66" si="61">CB67*AO67</f>
        <v>0</v>
      </c>
      <c r="CC66" s="54">
        <f>CC67*AO67</f>
        <v>0</v>
      </c>
      <c r="CD66" s="54">
        <f>CD67*AO67</f>
        <v>0</v>
      </c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/>
      <c r="CS66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</row>
    <row r="67" spans="1:162" s="11" customFormat="1" ht="9" customHeight="1" x14ac:dyDescent="0.25">
      <c r="C67" s="21">
        <f>AO67</f>
        <v>1</v>
      </c>
      <c r="D67" s="21">
        <f t="shared" ref="D67:AF67" si="62">C67</f>
        <v>1</v>
      </c>
      <c r="E67" s="21">
        <f t="shared" si="62"/>
        <v>1</v>
      </c>
      <c r="F67" s="21">
        <f t="shared" si="62"/>
        <v>1</v>
      </c>
      <c r="G67" s="21">
        <f t="shared" si="62"/>
        <v>1</v>
      </c>
      <c r="H67" s="21">
        <f t="shared" si="62"/>
        <v>1</v>
      </c>
      <c r="I67" s="21">
        <f t="shared" si="62"/>
        <v>1</v>
      </c>
      <c r="J67" s="21">
        <f t="shared" si="62"/>
        <v>1</v>
      </c>
      <c r="K67" s="21">
        <f t="shared" si="62"/>
        <v>1</v>
      </c>
      <c r="L67" s="21">
        <f t="shared" si="62"/>
        <v>1</v>
      </c>
      <c r="M67" s="21">
        <f t="shared" si="62"/>
        <v>1</v>
      </c>
      <c r="N67" s="21">
        <f t="shared" si="62"/>
        <v>1</v>
      </c>
      <c r="O67" s="21">
        <f t="shared" si="62"/>
        <v>1</v>
      </c>
      <c r="P67" s="21">
        <f t="shared" si="62"/>
        <v>1</v>
      </c>
      <c r="Q67" s="21">
        <f t="shared" si="62"/>
        <v>1</v>
      </c>
      <c r="R67" s="21">
        <f t="shared" si="62"/>
        <v>1</v>
      </c>
      <c r="S67" s="21">
        <f t="shared" si="62"/>
        <v>1</v>
      </c>
      <c r="T67" s="21">
        <f t="shared" si="62"/>
        <v>1</v>
      </c>
      <c r="U67" s="21">
        <f t="shared" si="62"/>
        <v>1</v>
      </c>
      <c r="V67" s="21">
        <f t="shared" si="62"/>
        <v>1</v>
      </c>
      <c r="W67" s="21">
        <f t="shared" si="62"/>
        <v>1</v>
      </c>
      <c r="X67" s="21">
        <f t="shared" si="62"/>
        <v>1</v>
      </c>
      <c r="Y67" s="21">
        <f t="shared" si="62"/>
        <v>1</v>
      </c>
      <c r="Z67" s="21">
        <f t="shared" si="62"/>
        <v>1</v>
      </c>
      <c r="AA67" s="21">
        <f t="shared" si="62"/>
        <v>1</v>
      </c>
      <c r="AB67" s="21">
        <f t="shared" si="62"/>
        <v>1</v>
      </c>
      <c r="AC67" s="21">
        <f t="shared" si="62"/>
        <v>1</v>
      </c>
      <c r="AD67" s="21">
        <f t="shared" si="62"/>
        <v>1</v>
      </c>
      <c r="AE67" s="21">
        <f t="shared" si="62"/>
        <v>1</v>
      </c>
      <c r="AF67" s="21">
        <f t="shared" si="62"/>
        <v>1</v>
      </c>
      <c r="AM67" s="67"/>
      <c r="AN67" s="100"/>
      <c r="AO67" s="60">
        <v>1</v>
      </c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16"/>
      <c r="BG67" s="16"/>
      <c r="BH67" s="16"/>
      <c r="BI67" s="16"/>
      <c r="BJ67" s="16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7"/>
      <c r="CA67" s="52">
        <f>CA66*AO67</f>
        <v>0</v>
      </c>
      <c r="CB67" s="34">
        <f t="shared" ref="CB67" si="63">IF(SUM(AP67:BY67)&lt;=0,1*0,SUM(AP67:BY67))</f>
        <v>0</v>
      </c>
      <c r="CC67" s="56"/>
      <c r="CD67" s="55">
        <f>CB67-CA66+CC67</f>
        <v>0</v>
      </c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/>
      <c r="CS67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</row>
    <row r="68" spans="1:162" s="9" customFormat="1" ht="9" customHeight="1" x14ac:dyDescent="0.25"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M68" s="64"/>
      <c r="AN68" s="97"/>
      <c r="AO68" s="57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16"/>
      <c r="BG68" s="16"/>
      <c r="BH68" s="16"/>
      <c r="BI68" s="16"/>
      <c r="BJ68" s="16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6" t="s">
        <v>0</v>
      </c>
      <c r="CA68" s="33">
        <f>IF(SUM(AP68:BY68)&lt;=0,1*0,SUM(AP68:BY68))</f>
        <v>0</v>
      </c>
      <c r="CB68" s="50">
        <f t="shared" ref="CB68" si="64">CB69*AO69</f>
        <v>0</v>
      </c>
      <c r="CC68" s="51">
        <f>CC69*AO69</f>
        <v>0</v>
      </c>
      <c r="CD68" s="51">
        <f>CD69*AO69</f>
        <v>0</v>
      </c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/>
      <c r="CS68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  <c r="EP68" s="10"/>
      <c r="EQ68" s="10"/>
      <c r="ER68" s="10"/>
      <c r="ES68" s="10"/>
      <c r="ET68" s="10"/>
      <c r="EU68" s="10"/>
      <c r="EV68" s="10"/>
      <c r="EW68" s="10"/>
      <c r="EX68" s="10"/>
      <c r="EY68" s="10"/>
      <c r="EZ68" s="10"/>
      <c r="FA68" s="10"/>
      <c r="FB68" s="10"/>
      <c r="FC68" s="10"/>
      <c r="FD68" s="10"/>
      <c r="FE68" s="10"/>
      <c r="FF68" s="10"/>
    </row>
    <row r="69" spans="1:162" s="9" customFormat="1" ht="9" customHeight="1" x14ac:dyDescent="0.25">
      <c r="C69" s="23">
        <f>AO69</f>
        <v>1</v>
      </c>
      <c r="D69" s="23">
        <f t="shared" ref="D69:AF69" si="65">C69</f>
        <v>1</v>
      </c>
      <c r="E69" s="23">
        <f t="shared" si="65"/>
        <v>1</v>
      </c>
      <c r="F69" s="23">
        <f t="shared" si="65"/>
        <v>1</v>
      </c>
      <c r="G69" s="23">
        <f t="shared" si="65"/>
        <v>1</v>
      </c>
      <c r="H69" s="23">
        <f t="shared" si="65"/>
        <v>1</v>
      </c>
      <c r="I69" s="23">
        <f t="shared" si="65"/>
        <v>1</v>
      </c>
      <c r="J69" s="23">
        <f t="shared" si="65"/>
        <v>1</v>
      </c>
      <c r="K69" s="23">
        <f t="shared" si="65"/>
        <v>1</v>
      </c>
      <c r="L69" s="23">
        <f t="shared" si="65"/>
        <v>1</v>
      </c>
      <c r="M69" s="23">
        <f t="shared" si="65"/>
        <v>1</v>
      </c>
      <c r="N69" s="23">
        <f t="shared" si="65"/>
        <v>1</v>
      </c>
      <c r="O69" s="23">
        <f t="shared" si="65"/>
        <v>1</v>
      </c>
      <c r="P69" s="23">
        <f t="shared" si="65"/>
        <v>1</v>
      </c>
      <c r="Q69" s="23">
        <f t="shared" si="65"/>
        <v>1</v>
      </c>
      <c r="R69" s="23">
        <f t="shared" si="65"/>
        <v>1</v>
      </c>
      <c r="S69" s="23">
        <f t="shared" si="65"/>
        <v>1</v>
      </c>
      <c r="T69" s="23">
        <f t="shared" si="65"/>
        <v>1</v>
      </c>
      <c r="U69" s="23">
        <f t="shared" si="65"/>
        <v>1</v>
      </c>
      <c r="V69" s="23">
        <f t="shared" si="65"/>
        <v>1</v>
      </c>
      <c r="W69" s="23">
        <f t="shared" si="65"/>
        <v>1</v>
      </c>
      <c r="X69" s="23">
        <f t="shared" si="65"/>
        <v>1</v>
      </c>
      <c r="Y69" s="23">
        <f t="shared" si="65"/>
        <v>1</v>
      </c>
      <c r="Z69" s="23">
        <f t="shared" si="65"/>
        <v>1</v>
      </c>
      <c r="AA69" s="23">
        <f t="shared" si="65"/>
        <v>1</v>
      </c>
      <c r="AB69" s="23">
        <f t="shared" si="65"/>
        <v>1</v>
      </c>
      <c r="AC69" s="23">
        <f t="shared" si="65"/>
        <v>1</v>
      </c>
      <c r="AD69" s="23">
        <f t="shared" si="65"/>
        <v>1</v>
      </c>
      <c r="AE69" s="23">
        <f t="shared" si="65"/>
        <v>1</v>
      </c>
      <c r="AF69" s="23">
        <f t="shared" si="65"/>
        <v>1</v>
      </c>
      <c r="AM69" s="65"/>
      <c r="AN69" s="98"/>
      <c r="AO69" s="58">
        <v>1</v>
      </c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16"/>
      <c r="BG69" s="16"/>
      <c r="BH69" s="16"/>
      <c r="BI69" s="16"/>
      <c r="BJ69" s="16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7"/>
      <c r="CA69" s="49">
        <f>CA68*AO69</f>
        <v>0</v>
      </c>
      <c r="CB69" s="34">
        <f t="shared" ref="CB69" si="66">IF(SUM(AP69:BY69)&lt;=0,1*0,SUM(AP69:BY69))</f>
        <v>0</v>
      </c>
      <c r="CC69" s="36"/>
      <c r="CD69" s="35">
        <f>CB69-CA68+CC69</f>
        <v>0</v>
      </c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/>
      <c r="CS69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  <c r="EP69" s="10"/>
      <c r="EQ69" s="10"/>
      <c r="ER69" s="10"/>
      <c r="ES69" s="10"/>
      <c r="ET69" s="10"/>
      <c r="EU69" s="10"/>
      <c r="EV69" s="10"/>
      <c r="EW69" s="10"/>
      <c r="EX69" s="10"/>
      <c r="EY69" s="10"/>
      <c r="EZ69" s="10"/>
      <c r="FA69" s="10"/>
      <c r="FB69" s="10"/>
      <c r="FC69" s="10"/>
      <c r="FD69" s="10"/>
      <c r="FE69" s="10"/>
      <c r="FF69" s="10"/>
    </row>
    <row r="70" spans="1:162" s="9" customFormat="1" ht="9" customHeight="1" x14ac:dyDescent="0.25"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M70" s="66"/>
      <c r="AN70" s="99"/>
      <c r="AO70" s="59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16"/>
      <c r="BG70" s="16"/>
      <c r="BH70" s="16"/>
      <c r="BI70" s="16"/>
      <c r="BJ70" s="16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6"/>
      <c r="CA70" s="53">
        <f>IF(SUM(AP70:BY70)&lt;=0,1*0,SUM(AP70:BY70))</f>
        <v>0</v>
      </c>
      <c r="CB70" s="50">
        <f t="shared" ref="CB70" si="67">CB71*AO71</f>
        <v>0</v>
      </c>
      <c r="CC70" s="54">
        <f>CC71*AO71</f>
        <v>0</v>
      </c>
      <c r="CD70" s="54">
        <f>CD71*AO71</f>
        <v>0</v>
      </c>
      <c r="CE70" s="11"/>
      <c r="CF70" s="11"/>
      <c r="CG70" s="11"/>
      <c r="CH70" s="12"/>
      <c r="CI70" s="12"/>
      <c r="CJ70" s="12"/>
      <c r="CK70" s="12"/>
      <c r="CL70" s="12"/>
      <c r="CM70" s="12"/>
      <c r="CN70" s="12"/>
      <c r="CO70" s="12"/>
      <c r="CP70" s="12"/>
      <c r="CQ70" s="10"/>
      <c r="CR70"/>
      <c r="CS70"/>
      <c r="CT70" s="10"/>
      <c r="CU70" s="10"/>
      <c r="CV70" s="10"/>
      <c r="CW70" s="10"/>
      <c r="CX70" s="10"/>
      <c r="CY70" s="10"/>
      <c r="CZ70" s="10"/>
      <c r="DA70" s="10"/>
      <c r="DB70" s="10"/>
      <c r="DC70" s="10"/>
      <c r="DD70" s="10"/>
      <c r="DE70" s="10"/>
      <c r="DF70" s="10"/>
      <c r="DG70" s="10"/>
      <c r="DH70" s="10"/>
      <c r="DI70" s="10"/>
      <c r="DJ70" s="10"/>
      <c r="DK70" s="10"/>
      <c r="DL70" s="10"/>
      <c r="DM70" s="10"/>
      <c r="DN70" s="10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  <c r="EP70" s="10"/>
      <c r="EQ70" s="10"/>
      <c r="ER70" s="10"/>
      <c r="ES70" s="10"/>
      <c r="ET70" s="10"/>
      <c r="EU70" s="10"/>
      <c r="EV70" s="10"/>
      <c r="EW70" s="10"/>
      <c r="EX70" s="10"/>
      <c r="EY70" s="10"/>
      <c r="EZ70" s="10"/>
      <c r="FA70" s="10"/>
      <c r="FB70" s="10"/>
      <c r="FC70" s="10"/>
      <c r="FD70" s="10"/>
      <c r="FE70" s="10"/>
      <c r="FF70" s="10"/>
    </row>
    <row r="71" spans="1:162" s="9" customFormat="1" ht="9" customHeight="1" x14ac:dyDescent="0.25">
      <c r="C71" s="21">
        <f>AO71</f>
        <v>1</v>
      </c>
      <c r="D71" s="21">
        <f t="shared" ref="D71:AF71" si="68">C71</f>
        <v>1</v>
      </c>
      <c r="E71" s="21">
        <f t="shared" si="68"/>
        <v>1</v>
      </c>
      <c r="F71" s="21">
        <f t="shared" si="68"/>
        <v>1</v>
      </c>
      <c r="G71" s="21">
        <f t="shared" si="68"/>
        <v>1</v>
      </c>
      <c r="H71" s="21">
        <f t="shared" si="68"/>
        <v>1</v>
      </c>
      <c r="I71" s="21">
        <f t="shared" si="68"/>
        <v>1</v>
      </c>
      <c r="J71" s="21">
        <f t="shared" si="68"/>
        <v>1</v>
      </c>
      <c r="K71" s="21">
        <f t="shared" si="68"/>
        <v>1</v>
      </c>
      <c r="L71" s="21">
        <f t="shared" si="68"/>
        <v>1</v>
      </c>
      <c r="M71" s="21">
        <f t="shared" si="68"/>
        <v>1</v>
      </c>
      <c r="N71" s="21">
        <f t="shared" si="68"/>
        <v>1</v>
      </c>
      <c r="O71" s="21">
        <f t="shared" si="68"/>
        <v>1</v>
      </c>
      <c r="P71" s="21">
        <f t="shared" si="68"/>
        <v>1</v>
      </c>
      <c r="Q71" s="21">
        <f t="shared" si="68"/>
        <v>1</v>
      </c>
      <c r="R71" s="21">
        <f t="shared" si="68"/>
        <v>1</v>
      </c>
      <c r="S71" s="21">
        <f t="shared" si="68"/>
        <v>1</v>
      </c>
      <c r="T71" s="21">
        <f t="shared" si="68"/>
        <v>1</v>
      </c>
      <c r="U71" s="21">
        <f t="shared" si="68"/>
        <v>1</v>
      </c>
      <c r="V71" s="21">
        <f t="shared" si="68"/>
        <v>1</v>
      </c>
      <c r="W71" s="21">
        <f t="shared" si="68"/>
        <v>1</v>
      </c>
      <c r="X71" s="21">
        <f t="shared" si="68"/>
        <v>1</v>
      </c>
      <c r="Y71" s="21">
        <f t="shared" si="68"/>
        <v>1</v>
      </c>
      <c r="Z71" s="21">
        <f t="shared" si="68"/>
        <v>1</v>
      </c>
      <c r="AA71" s="21">
        <f t="shared" si="68"/>
        <v>1</v>
      </c>
      <c r="AB71" s="21">
        <f t="shared" si="68"/>
        <v>1</v>
      </c>
      <c r="AC71" s="21">
        <f t="shared" si="68"/>
        <v>1</v>
      </c>
      <c r="AD71" s="21">
        <f t="shared" si="68"/>
        <v>1</v>
      </c>
      <c r="AE71" s="21">
        <f t="shared" si="68"/>
        <v>1</v>
      </c>
      <c r="AF71" s="21">
        <f t="shared" si="68"/>
        <v>1</v>
      </c>
      <c r="AM71" s="67"/>
      <c r="AN71" s="100"/>
      <c r="AO71" s="60">
        <v>1</v>
      </c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16"/>
      <c r="BG71" s="16"/>
      <c r="BH71" s="16"/>
      <c r="BI71" s="16"/>
      <c r="BJ71" s="16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7" t="s">
        <v>0</v>
      </c>
      <c r="CA71" s="52">
        <f>CA70*AO71</f>
        <v>0</v>
      </c>
      <c r="CB71" s="34">
        <f t="shared" ref="CB71" si="69">IF(SUM(AP71:BY71)&lt;=0,1*0,SUM(AP71:BY71))</f>
        <v>0</v>
      </c>
      <c r="CC71" s="56"/>
      <c r="CD71" s="55">
        <f>CB71-CA70+CC71</f>
        <v>0</v>
      </c>
      <c r="CE71" s="11"/>
      <c r="CF71" s="11"/>
      <c r="CG71" s="11"/>
      <c r="CH71" s="12"/>
      <c r="CI71" s="12"/>
      <c r="CJ71" s="12"/>
      <c r="CK71" s="12"/>
      <c r="CL71" s="12"/>
      <c r="CM71" s="12"/>
      <c r="CN71" s="12"/>
      <c r="CO71" s="12"/>
      <c r="CP71" s="12"/>
      <c r="CQ71" s="10"/>
      <c r="CR71"/>
      <c r="CS71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  <c r="EP71" s="10"/>
      <c r="EQ71" s="10"/>
      <c r="ER71" s="10"/>
      <c r="ES71" s="10"/>
      <c r="ET71" s="10"/>
      <c r="EU71" s="10"/>
      <c r="EV71" s="10"/>
      <c r="EW71" s="10"/>
      <c r="EX71" s="10"/>
      <c r="EY71" s="10"/>
      <c r="EZ71" s="10"/>
      <c r="FA71" s="10"/>
      <c r="FB71" s="10"/>
      <c r="FC71" s="10"/>
      <c r="FD71" s="10"/>
      <c r="FE71" s="10"/>
      <c r="FF71" s="10"/>
    </row>
    <row r="72" spans="1:162" s="9" customFormat="1" ht="9" customHeight="1" x14ac:dyDescent="0.25"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8"/>
      <c r="X72" s="47"/>
      <c r="Y72" s="47"/>
      <c r="Z72" s="47"/>
      <c r="AA72" s="47"/>
      <c r="AB72" s="47"/>
      <c r="AC72" s="47"/>
      <c r="AD72" s="48"/>
      <c r="AE72" s="47"/>
      <c r="AF72" s="47"/>
      <c r="AM72" s="64"/>
      <c r="AN72" s="97"/>
      <c r="AO72" s="57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16"/>
      <c r="BG72" s="16"/>
      <c r="BH72" s="16"/>
      <c r="BI72" s="16"/>
      <c r="BJ72" s="16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6"/>
      <c r="CA72" s="33">
        <f>IF(SUM(AP72:BY72)&lt;=0,1*0,SUM(AP72:BY72))</f>
        <v>0</v>
      </c>
      <c r="CB72" s="50">
        <f t="shared" ref="CB72" si="70">CB73*AO73</f>
        <v>0</v>
      </c>
      <c r="CC72" s="51">
        <f>CC73*AO73</f>
        <v>0</v>
      </c>
      <c r="CD72" s="75">
        <f>CD73*AO73</f>
        <v>0</v>
      </c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/>
      <c r="CS72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  <c r="EP72" s="10"/>
      <c r="EQ72" s="10"/>
      <c r="ER72" s="10"/>
      <c r="ES72" s="10"/>
      <c r="ET72" s="10"/>
      <c r="EU72" s="10"/>
      <c r="EV72" s="10"/>
      <c r="EW72" s="10"/>
      <c r="EX72" s="10"/>
      <c r="EY72" s="10"/>
      <c r="EZ72" s="10"/>
      <c r="FA72" s="10"/>
      <c r="FB72" s="10"/>
      <c r="FC72" s="10"/>
      <c r="FD72" s="10"/>
      <c r="FE72" s="10"/>
      <c r="FF72" s="10"/>
    </row>
    <row r="73" spans="1:162" s="9" customFormat="1" ht="9" customHeight="1" x14ac:dyDescent="0.25">
      <c r="C73" s="23">
        <f>AO73</f>
        <v>1</v>
      </c>
      <c r="D73" s="23">
        <f t="shared" ref="D73:AF73" si="71">C73</f>
        <v>1</v>
      </c>
      <c r="E73" s="23">
        <f t="shared" si="71"/>
        <v>1</v>
      </c>
      <c r="F73" s="23">
        <f t="shared" si="71"/>
        <v>1</v>
      </c>
      <c r="G73" s="23">
        <f t="shared" si="71"/>
        <v>1</v>
      </c>
      <c r="H73" s="23">
        <f t="shared" si="71"/>
        <v>1</v>
      </c>
      <c r="I73" s="23">
        <f t="shared" si="71"/>
        <v>1</v>
      </c>
      <c r="J73" s="23">
        <f t="shared" si="71"/>
        <v>1</v>
      </c>
      <c r="K73" s="23">
        <f t="shared" si="71"/>
        <v>1</v>
      </c>
      <c r="L73" s="23">
        <f t="shared" si="71"/>
        <v>1</v>
      </c>
      <c r="M73" s="23">
        <f t="shared" si="71"/>
        <v>1</v>
      </c>
      <c r="N73" s="23">
        <f t="shared" si="71"/>
        <v>1</v>
      </c>
      <c r="O73" s="23">
        <f t="shared" si="71"/>
        <v>1</v>
      </c>
      <c r="P73" s="23">
        <f t="shared" si="71"/>
        <v>1</v>
      </c>
      <c r="Q73" s="23">
        <f t="shared" si="71"/>
        <v>1</v>
      </c>
      <c r="R73" s="23">
        <f t="shared" si="71"/>
        <v>1</v>
      </c>
      <c r="S73" s="23">
        <f t="shared" si="71"/>
        <v>1</v>
      </c>
      <c r="T73" s="23">
        <f t="shared" si="71"/>
        <v>1</v>
      </c>
      <c r="U73" s="23">
        <f t="shared" si="71"/>
        <v>1</v>
      </c>
      <c r="V73" s="23">
        <f t="shared" si="71"/>
        <v>1</v>
      </c>
      <c r="W73" s="23">
        <f t="shared" si="71"/>
        <v>1</v>
      </c>
      <c r="X73" s="23">
        <f t="shared" si="71"/>
        <v>1</v>
      </c>
      <c r="Y73" s="23">
        <f t="shared" si="71"/>
        <v>1</v>
      </c>
      <c r="Z73" s="23">
        <f t="shared" si="71"/>
        <v>1</v>
      </c>
      <c r="AA73" s="23">
        <f t="shared" si="71"/>
        <v>1</v>
      </c>
      <c r="AB73" s="23">
        <f t="shared" si="71"/>
        <v>1</v>
      </c>
      <c r="AC73" s="23">
        <f t="shared" si="71"/>
        <v>1</v>
      </c>
      <c r="AD73" s="23">
        <f t="shared" si="71"/>
        <v>1</v>
      </c>
      <c r="AE73" s="23">
        <f t="shared" si="71"/>
        <v>1</v>
      </c>
      <c r="AF73" s="23">
        <f t="shared" si="71"/>
        <v>1</v>
      </c>
      <c r="AM73" s="65"/>
      <c r="AN73" s="98"/>
      <c r="AO73" s="58">
        <v>1</v>
      </c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16"/>
      <c r="BG73" s="16"/>
      <c r="BH73" s="16"/>
      <c r="BI73" s="16"/>
      <c r="BJ73" s="16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7" t="s">
        <v>0</v>
      </c>
      <c r="CA73" s="49">
        <f>CA72*AO73</f>
        <v>0</v>
      </c>
      <c r="CB73" s="34">
        <f t="shared" ref="CB73" si="72">IF(SUM(AP73:BY73)&lt;=0,1*0,SUM(AP73:BY73))</f>
        <v>0</v>
      </c>
      <c r="CC73" s="36">
        <v>0</v>
      </c>
      <c r="CD73" s="35">
        <f>CB73-CA72+CC73</f>
        <v>0</v>
      </c>
      <c r="CH73" s="10"/>
      <c r="CI73" s="10"/>
      <c r="CJ73" s="10"/>
      <c r="CK73" s="10"/>
      <c r="CL73" s="10"/>
      <c r="CM73" s="10"/>
      <c r="CN73" s="10"/>
      <c r="CO73" s="10"/>
      <c r="CP73" s="10"/>
      <c r="CQ73" s="10"/>
      <c r="CR73"/>
      <c r="CS73"/>
      <c r="CT73" s="10"/>
      <c r="CU73" s="10"/>
      <c r="CV73" s="10"/>
      <c r="CW73" s="10"/>
      <c r="CX73" s="10"/>
      <c r="CY73" s="10"/>
      <c r="CZ73" s="10"/>
      <c r="DA73" s="10"/>
      <c r="DB73" s="10"/>
      <c r="DC73" s="10"/>
      <c r="DD73" s="10"/>
      <c r="DE73" s="10"/>
      <c r="DF73" s="10"/>
      <c r="DG73" s="10"/>
      <c r="DH73" s="10"/>
      <c r="DI73" s="10"/>
      <c r="DJ73" s="10"/>
      <c r="DK73" s="10"/>
      <c r="DL73" s="10"/>
      <c r="DM73" s="10"/>
      <c r="DN73" s="10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  <c r="EP73" s="10"/>
      <c r="EQ73" s="10"/>
      <c r="ER73" s="10"/>
      <c r="ES73" s="10"/>
      <c r="ET73" s="10"/>
      <c r="EU73" s="10"/>
      <c r="EV73" s="10"/>
      <c r="EW73" s="10"/>
      <c r="EX73" s="10"/>
      <c r="EY73" s="10"/>
      <c r="EZ73" s="10"/>
      <c r="FA73" s="10"/>
      <c r="FB73" s="10"/>
      <c r="FC73" s="10"/>
      <c r="FD73" s="10"/>
      <c r="FE73" s="10"/>
      <c r="FF73" s="10"/>
    </row>
    <row r="74" spans="1:162" ht="9" customHeight="1" x14ac:dyDescent="0.25"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M74" s="66"/>
      <c r="AN74" s="99"/>
      <c r="AO74" s="59"/>
      <c r="AP74" s="78"/>
      <c r="AQ74" s="78"/>
      <c r="AR74" s="78"/>
      <c r="AS74" s="39"/>
      <c r="AT74" s="39"/>
      <c r="AU74" s="39"/>
      <c r="AV74" s="39"/>
      <c r="AW74" s="39"/>
      <c r="AX74" s="39"/>
      <c r="AY74" s="39"/>
      <c r="AZ74" s="78"/>
      <c r="BA74" s="78"/>
      <c r="BB74" s="78"/>
      <c r="BC74" s="78"/>
      <c r="BD74" s="78"/>
      <c r="BE74" s="78"/>
      <c r="BF74" s="79"/>
      <c r="BG74" s="79"/>
      <c r="BH74" s="79"/>
      <c r="BI74" s="79"/>
      <c r="BJ74" s="79"/>
      <c r="BK74" s="78"/>
      <c r="BL74" s="78"/>
      <c r="BM74" s="78"/>
      <c r="BN74" s="78"/>
      <c r="BO74" s="78"/>
      <c r="BP74" s="78"/>
      <c r="BQ74" s="78"/>
      <c r="BR74" s="78"/>
      <c r="BS74" s="78"/>
      <c r="BT74" s="78"/>
      <c r="BU74" s="78"/>
      <c r="BV74" s="78"/>
      <c r="BW74" s="78"/>
      <c r="BX74" s="78"/>
      <c r="BY74" s="78"/>
      <c r="BZ74" s="26"/>
      <c r="CA74" s="53">
        <f>IF(SUM(AP74:BY74)&lt;=0,1*0,SUM(AP74:BY74))</f>
        <v>0</v>
      </c>
      <c r="CB74" s="50">
        <f t="shared" ref="CB74" si="73">CB75*AO75</f>
        <v>0</v>
      </c>
      <c r="CC74" s="54">
        <f>CC75*AO75</f>
        <v>0</v>
      </c>
      <c r="CD74" s="54">
        <f>CD75*AO75</f>
        <v>0</v>
      </c>
      <c r="CE74" s="11"/>
      <c r="CF74" s="11"/>
      <c r="CG74" s="11"/>
      <c r="CH74" s="12"/>
      <c r="CI74" s="12"/>
      <c r="CJ74" s="12"/>
      <c r="CK74" s="12"/>
      <c r="CL74" s="12"/>
      <c r="CM74" s="12"/>
      <c r="CN74" s="12"/>
      <c r="CO74" s="12"/>
      <c r="CP74" s="12"/>
      <c r="CR74"/>
      <c r="CS74"/>
    </row>
    <row r="75" spans="1:162" ht="9" customHeight="1" thickBot="1" x14ac:dyDescent="0.3">
      <c r="C75" s="24">
        <f>AO75</f>
        <v>1</v>
      </c>
      <c r="D75" s="24">
        <f t="shared" ref="D75:AF75" si="74">C75</f>
        <v>1</v>
      </c>
      <c r="E75" s="24">
        <f t="shared" si="74"/>
        <v>1</v>
      </c>
      <c r="F75" s="24">
        <f t="shared" si="74"/>
        <v>1</v>
      </c>
      <c r="G75" s="24">
        <f t="shared" si="74"/>
        <v>1</v>
      </c>
      <c r="H75" s="24">
        <f t="shared" si="74"/>
        <v>1</v>
      </c>
      <c r="I75" s="24">
        <f t="shared" si="74"/>
        <v>1</v>
      </c>
      <c r="J75" s="24">
        <f t="shared" si="74"/>
        <v>1</v>
      </c>
      <c r="K75" s="24">
        <f t="shared" si="74"/>
        <v>1</v>
      </c>
      <c r="L75" s="24">
        <f t="shared" si="74"/>
        <v>1</v>
      </c>
      <c r="M75" s="24">
        <f t="shared" si="74"/>
        <v>1</v>
      </c>
      <c r="N75" s="24">
        <f t="shared" si="74"/>
        <v>1</v>
      </c>
      <c r="O75" s="24">
        <f t="shared" si="74"/>
        <v>1</v>
      </c>
      <c r="P75" s="24">
        <f t="shared" si="74"/>
        <v>1</v>
      </c>
      <c r="Q75" s="24">
        <f t="shared" si="74"/>
        <v>1</v>
      </c>
      <c r="R75" s="24">
        <f t="shared" si="74"/>
        <v>1</v>
      </c>
      <c r="S75" s="24">
        <f t="shared" si="74"/>
        <v>1</v>
      </c>
      <c r="T75" s="24">
        <f t="shared" si="74"/>
        <v>1</v>
      </c>
      <c r="U75" s="24">
        <f t="shared" si="74"/>
        <v>1</v>
      </c>
      <c r="V75" s="24">
        <f t="shared" si="74"/>
        <v>1</v>
      </c>
      <c r="W75" s="24">
        <f t="shared" si="74"/>
        <v>1</v>
      </c>
      <c r="X75" s="24">
        <f t="shared" si="74"/>
        <v>1</v>
      </c>
      <c r="Y75" s="24">
        <f t="shared" si="74"/>
        <v>1</v>
      </c>
      <c r="Z75" s="24">
        <f t="shared" si="74"/>
        <v>1</v>
      </c>
      <c r="AA75" s="24">
        <f t="shared" si="74"/>
        <v>1</v>
      </c>
      <c r="AB75" s="24">
        <f t="shared" si="74"/>
        <v>1</v>
      </c>
      <c r="AC75" s="24">
        <f t="shared" si="74"/>
        <v>1</v>
      </c>
      <c r="AD75" s="24">
        <f t="shared" si="74"/>
        <v>1</v>
      </c>
      <c r="AE75" s="24">
        <f t="shared" si="74"/>
        <v>1</v>
      </c>
      <c r="AF75" s="24">
        <f t="shared" si="74"/>
        <v>1</v>
      </c>
      <c r="AM75" s="68"/>
      <c r="AN75" s="101"/>
      <c r="AO75" s="61">
        <v>1</v>
      </c>
      <c r="AP75" s="80"/>
      <c r="AQ75" s="80"/>
      <c r="AR75" s="80"/>
      <c r="AS75" s="40"/>
      <c r="AT75" s="40"/>
      <c r="AU75" s="40"/>
      <c r="AV75" s="40"/>
      <c r="AW75" s="40"/>
      <c r="AX75" s="40"/>
      <c r="AY75" s="40"/>
      <c r="AZ75" s="80"/>
      <c r="BA75" s="80"/>
      <c r="BB75" s="80"/>
      <c r="BC75" s="80"/>
      <c r="BD75" s="80"/>
      <c r="BE75" s="80"/>
      <c r="BF75" s="79"/>
      <c r="BG75" s="79"/>
      <c r="BH75" s="79"/>
      <c r="BI75" s="79"/>
      <c r="BJ75" s="79"/>
      <c r="BK75" s="80"/>
      <c r="BL75" s="80"/>
      <c r="BM75" s="80"/>
      <c r="BN75" s="80"/>
      <c r="BO75" s="80"/>
      <c r="BP75" s="80"/>
      <c r="BQ75" s="80"/>
      <c r="BR75" s="80"/>
      <c r="BS75" s="80"/>
      <c r="BT75" s="80"/>
      <c r="BU75" s="80"/>
      <c r="BV75" s="80"/>
      <c r="BW75" s="80"/>
      <c r="BX75" s="80"/>
      <c r="BY75" s="80"/>
      <c r="BZ75" s="27" t="s">
        <v>0</v>
      </c>
      <c r="CA75" s="52">
        <f>CA74*AO75</f>
        <v>0</v>
      </c>
      <c r="CB75" s="34">
        <f t="shared" ref="CB75" si="75">IF(SUM(AP75:BY75)&lt;=0,1*0,SUM(AP75:BY75))</f>
        <v>0</v>
      </c>
      <c r="CC75" s="56"/>
      <c r="CD75" s="55">
        <f>CB75-CA74+CC75</f>
        <v>0</v>
      </c>
      <c r="CE75" s="11"/>
      <c r="CF75" s="11"/>
      <c r="CG75" s="11"/>
      <c r="CH75" s="12"/>
      <c r="CI75" s="12"/>
      <c r="CJ75" s="12"/>
      <c r="CK75" s="12"/>
      <c r="CL75" s="12"/>
      <c r="CM75" s="12"/>
      <c r="CN75" s="12"/>
      <c r="CO75" s="12"/>
      <c r="CP75" s="12"/>
      <c r="CR75"/>
      <c r="CS75"/>
    </row>
    <row r="76" spans="1:162" ht="9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M76" s="69" t="s">
        <v>21</v>
      </c>
      <c r="AN76" s="94"/>
      <c r="AO76" s="37"/>
      <c r="AP76" s="19">
        <f>IF(((AP24*AO25)+(AP26*AO27)+(AP28*AO29)+(AP30*AO31)+(AP32*AO33)+(AP34*AO35)+(AP36*AO37)+(AP38*AO39)+(AP40*AO41)+(AP42*AO43)+(AP44*AO45)+(AP46*AO47)+(AP48*AO49)+(AP50*AO51)+(AP52*AO53)+(AP54*AO55)+(AP56*AO57)+(AP58*AO59)+(AP60*AO61)+(AP62*AO63)+(AP64*AO65)+(AP66*AO67)+(AP68*AO69)+(AP70*AO71)+(AP72*AO73)+(AP74*AO75))&lt;=0,1*0,(AP24*AO25)+(AP26*AO27)+(AP28*AO29)+(AP30*AO31)+(AP32*AO33)+(AP34*AO35)+(AP36*AO37)+(AP38*AO39)+(AP40*AO41)+(AP42*AO43)+(AP44*AO45)+(AP46*AO47)+(AP48*AO49)+(AP50*AO51)+(AP52*AO53)+(AP54*AO55)+(AP56*AO57)+(AP58*AO59)+(AP60*AO61)+(AP62*AO63)+(AP64*AO65)+(AP66*AO67)+(AP68*AO69)+(AP70*AO71)+(AP72*AO73)+(AP74*AO75))</f>
        <v>0</v>
      </c>
      <c r="AQ76" s="19">
        <f>IF(((AQ24*C25)+(AQ26*C27)+(AQ28*C29)+(AQ30*C31)+(AQ32*C33)+(AQ34*C35)+(AQ36*C37)+(AQ38*C39)+(AQ40*C41)+(AQ42*C43)+(AQ44*C45)+(AQ46*C47)+(AQ48*C49)+(AQ50*C51)+(AQ52*C53)+(AQ54*C55)+(AQ56*C57)+(AQ58*C59)+(AQ60*C61)+(AQ62*C63)+(AQ64*C65)+(AQ66*C67)+(AQ68*C69)+(AQ70*C71)+(AQ72*C73)+(AQ74*C75))&lt;=0,1*0,(AQ24*C25)+(AQ26*C27)+(AQ28*C29)+(AQ30*C31)+(AQ32*C33)+(AQ34*C35)+(AQ36*C37)+(AQ38*C39)+(AQ40*C41)+(AQ42*C43)+(AQ44*C45)+(AQ46*C47)+(AQ48*C49)+(AQ50*C51)+(AQ52*C53)+(AQ54*C55)+(AQ56*C57)+(AQ58*C59)+(AQ60*C61)+(AQ62*C63)+(AQ64*C65)+(AQ66*C67)+(AQ68*C69)+(AQ70*C71)+(AQ72*C73)+(AQ74*C75))</f>
        <v>2200</v>
      </c>
      <c r="AR76" s="19">
        <f>IF(((AR24*D25)+(AR26*D27)+(AR28*D29)+(AR30*D31)+(AR32*D33)+(AR34*D35)+(AR36*D37)+(AR38*D39)+(AR40*D41)+(AR42*D43)+(AR44*D45)+(AR46*D47)+(AR48*D49)+(AR50*D51)+(AR52*D53)+(AR54*D55)+(AR56*D57)+(AR58*D59)+(AR60*D61)+(AR62*D63)+(AR64*D65)+(AR66*D67)+(AR68*D69)+(AR70*D71)+(AR72*D73)+(AR74*D75))&lt;=0,1*0,(AR24*D25)+(AR26*D27)+(AR28*D29)+(AR30*D31)+(AR32*D33)+(AR34*D35)+(AR36*D37)+(AR38*D39)+(AR40*D41)+(AR42*D43)+(AR44*D45)+(AR46*D47)+(AR48*D49)+(AR50*D51)+(AR52*D53)+(AR54*D55)+(AR56*D57)+(AR58*D59)+(AR60*D61)+(AR62*D63)+(AR64*D65)+(AR66*D67)+(AR68*D69)+(AR70*D71)+(AR72*D73)+(AR74*D75))</f>
        <v>0</v>
      </c>
      <c r="AS76" s="19">
        <f>IF(((AS24*E25)+(AS26*E27)+(AS28*E29)+(AS30*E31)+(AS32*E33)+(AS34*E35)+(AS36*E37)+(AS38*E39)+(AS40*E41)+(AS42*E43)+(AS44*E45)+(AS46*E47)+(AS48*E49)+(AS50*E51)+(AS52*E53)+(AS54*E55)+(AS56*E57)+(AS58*E59)+(AS60*E61)+(AS62*E63)+(AS64*E65)+(AS66*E67)+(AS68*E69)+(AS70*E71)+(AS72*E73)+(AS74*E75))&lt;=0,1*0,(AS24*E25)+(AS26*E27)+(AS28*E29)+(AS30*E31)+(AS32*E33)+(AS34*E35)+(AS36*E37)+(AS38*E39)+(AS40*E41)+(AS42*E43)+(AS44*E45)+(AS46*E47)+(AS48*E49)+(AS50*E51)+(AS52*E53)+(AS54*E55)+(AS56*E57)+(AS58*E59)+(AS60*E61)+(AS62*E63)+(AS64*E65)+(AS66*E67)+(AS68*E69)+(AS70*E71)+(AS72*E73)+(AS74*E75))</f>
        <v>0</v>
      </c>
      <c r="AT76" s="19">
        <f>IF(((AT24*F25)+(AT26*F27)+(AT28*F29)+(AT30*F31)+(AT32*F33)+(AT34*F35)+(AT36*F37)+(AT38*F39)+(AT40*F41)+(AT42*F43)+(AT44*F45)+(AT46*F47)+(AT48*F49)+(AT50*F51)+(AT52*F53)+(AT54*F55)+(AT56*F57)+(AT58*F59)+(AT60*F61)+(AT62*F63)+(AT64*F65)+(AT66*F67)+(AT68*F69)+(AT70*F71)+(AT72*F73)+(AT74*F75))&lt;=0,1*0,(AT24*F25)+(AT26*F27)+(AT28*F29)+(AT30*F31)+(AT32*F33)+(AT34*F35)+(AT36*F37)+(AT38*F39)+(AT40*F41)+(AT42*F43)+(AT44*F45)+(AT46*F47)+(AT48*F49)+(AT50*F51)+(AT52*F53)+(AT54*F55)+(AT56*F57)+(AT58*F59)+(AT60*F61)+(AT62*F63)+(AT64*F65)+(AT66*F67)+(AT68*F69)+(AT70*F71)+(AT72*F73)+(AT74*F75))</f>
        <v>0</v>
      </c>
      <c r="AU76" s="19">
        <f>IF(((AU24*G25)+(AU26*G27)+(AU28*G29)+(AU30*G31)+(AU32*G33)+(AU34*G35)+(AU36*G37)+(AU38*G39)+(AU40*G41)+(AU42*G43)+(AU44*G45)+(AU46*G47)+(AU48*G49)+(AU50*G51)+(AU52*G53)+(AU54*G55)+(AU56*G57)+(AU58*G59)+(AU60*G61)+(AU62*G63)+(AU64*G65)+(AU66*G67)+(AU68*G69)+(AU70*G71)+(AU72*G73)+(AU74*G75))&lt;=0,1*0,(AU24*G25)+(AU26*G27)+(AU28*G29)+(AU30*G31)+(AU32*G33)+(AU34*G35)+(AU36*G37)+(AU38*G39)+(AU40*G41)+(AU42*G43)+(AU44*G45)+(AU46*G47)+(AU48*G49)+(AU50*G51)+(AU52*G53)+(AU54*G55)+(AU56*G57)+(AU58*G59)+(AU60*G61)+(AU62*G63)+(AU64*G65)+(AU66*G67)+(AU68*G69)+(AU70*G71)+(AU72*G73)+(AU74*G75))</f>
        <v>0</v>
      </c>
      <c r="AV76" s="19">
        <f>IF(((AV24*H25)+(AV26*H27)+(AV28*H29)+(AV30*H31)+(AV32*H33)+(AV34*H35)+(AV36*H37)+(AV38*H39)+(AV40*H41)+(AV42*H43)+(AV44*H45)+(AV46*H47)+(AV48*H49)+(AV50*H51)+(AV52*H53)+(AV54*H55)+(AV56*H57)+(AV58*H59)+(AV60*H61)+(AV62*H63)+(AV64*H65)+(AV66*H67)+(AV68*H69)+(AV70*H71)+(AV72*H73)+(AV74*H75))&lt;=0,1*0,(AV24*H25)+(AV26*H27)+(AV28*H29)+(AV30*H31)+(AV32*H33)+(AV34*H35)+(AV36*H37)+(AV38*H39)+(AV40*H41)+(AV42*H43)+(AV44*H45)+(AV46*H47)+(AV48*H49)+(AV50*H51)+(AV52*H53)+(AV54*H55)+(AV56*H57)+(AV58*H59)+(AV60*H61)+(AV62*H63)+(AV64*H65)+(AV66*H67)+(AV68*H69)+(AV70*H71)+(AV72*H73)+(AV74*H75))</f>
        <v>0</v>
      </c>
      <c r="AW76" s="19">
        <f>IF(((AW24*I25)+(AW26*I27)+(AW28*I29)+(AW30*I31)+(AW32*I33)+(AW34*I35)+(AW36*I37)+(AW38*I39)+(AW40*I41)+(AW42*I43)+(AW44*I45)+(AW46*I47)+(AW48*I49)+(AW50*I51)+(AW52*I53)+(AW54*I55)+(AW56*I57)+(AW58*I59)+(AW60*I61)+(AW62*I63)+(AW64*I65)+(AW66*I67)+(AW68*I69)+(AW70*I71)+(AW72*I73)+(AW74*I75))&lt;=0,1*0,(AW24*I25)+(AW26*I27)+(AW28*I29)+(AW30*I31)+(AW32*I33)+(AW34*I35)+(AW36*I37)+(AW38*I39)+(AW40*I41)+(AW42*I43)+(AW44*I45)+(AW46*I47)+(AW48*I49)+(AW50*I51)+(AW52*I53)+(AW54*I55)+(AW56*I57)+(AW58*I59)+(AW60*I61)+(AW62*I63)+(AW64*I65)+(AW66*I67)+(AW68*I69)+(AW70*I71)+(AW72*I73)+(AW74*I75))</f>
        <v>0</v>
      </c>
      <c r="AX76" s="19">
        <f>IF(((AX24*J25)+(AX26*J27)+(AX28*J29)+(AX30*J31)+(AX32*J33)+(AX34*J35)+(AX36*J37)+(AX38*J39)+(AX40*J41)+(AX42*J43)+(AX44*J45)+(AX46*J47)+(AX48*J49)+(AX50*J51)+(AX52*J53)+(AX54*J55)+(AX56*J57)+(AX58*J59)+(AX60*J61)+(AX62*J63)+(AX64*J65)+(AX66*J67)+(AX68*J69)+(AX70*J71)+(AX72*J73)+(AX74*J75))&lt;=0,1*0,(AX24*J25)+(AX26*J27)+(AX28*J29)+(AX30*J31)+(AX32*J33)+(AX34*J35)+(AX36*J37)+(AX38*J39)+(AX40*J41)+(AX42*J43)+(AX44*J45)+(AX46*J47)+(AX48*J49)+(AX50*J51)+(AX52*J53)+(AX54*J55)+(AX56*J57)+(AX58*J59)+(AX60*J61)+(AX62*J63)+(AX64*J65)+(AX66*J67)+(AX68*J69)+(AX70*J71)+(AX72*J73)+(AX74*J75))</f>
        <v>2200</v>
      </c>
      <c r="AY76" s="19">
        <f>IF(((AY24*K25)+(AY26*K27)+(AY28*K29)+(AY30*K31)+(AY32*K33)+(AY34*K35)+(AY36*K37)+(AY38*K39)+(AY40*K41)+(AY42*K43)+(AY44*K45)+(AY46*K47)+(AY48*K49)+(AY50*K51)+(AY52*K53)+(AY54*K55)+(AY56*K57)+(AY58*K59)+(AY60*K61)+(AY62*K63)+(AY64*K65)+(AY66*K67)+(AY68*K69)+(AY70*K71)+(AY72*K73)+(AY74*K75))&lt;=0,1*0,(AY24*K25)+(AY26*K27)+(AY28*K29)+(AY30*K31)+(AY32*K33)+(AY34*K35)+(AY36*K37)+(AY38*K39)+(AY40*K41)+(AY42*K43)+(AY44*K45)+(AY46*K47)+(AY48*K49)+(AY50*K51)+(AY52*K53)+(AY54*K55)+(AY56*K57)+(AY58*K59)+(AY60*K61)+(AY62*K63)+(AY64*K65)+(AY66*K67)+(AY68*K69)+(AY70*K71)+(AY72*K73)+(AY74*K75))</f>
        <v>0</v>
      </c>
      <c r="AZ76" s="19">
        <f>IF(((AZ24*L25)+(AZ26*L27)+(AZ28*L29)+(AZ30*L31)+(AZ32*L33)+(AZ34*L35)+(AZ36*L37)+(AZ38*L39)+(AZ40*L41)+(AZ42*L43)+(AZ44*L45)+(AZ46*L47)+(AZ48*L49)+(AZ50*L51)+(AZ52*L53)+(AZ54*L55)+(AZ56*L57)+(AZ58*L59)+(AZ60*L61)+(AZ62*L63)+(AZ64*L65)+(AZ66*L67)+(AZ68*L69)+(AZ70*L71)+(AZ72*L73)+(AZ74*L75))&lt;=0,1*0,(AZ24*L25)+(AZ26*L27)+(AZ28*L29)+(AZ30*L31)+(AZ32*L33)+(AZ34*L35)+(AZ36*L37)+(AZ38*L39)+(AZ40*L41)+(AZ42*L43)+(AZ44*L45)+(AZ46*L47)+(AZ48*L49)+(AZ50*L51)+(AZ52*L53)+(AZ54*L55)+(AZ56*L57)+(AZ58*L59)+(AZ60*L61)+(AZ62*L63)+(AZ64*L65)+(AZ66*L67)+(AZ68*L69)+(AZ70*L71)+(AZ72*L73)+(AZ74*L75))</f>
        <v>0</v>
      </c>
      <c r="BA76" s="19">
        <f>IF(((BA24*M25)+(BA26*M27)+(BA28*M29)+(BA30*M31)+(BA32*M33)+(BA34*M35)+(BA36*M37)+(BA38*M39)+(BA40*M41)+(BA42*M43)+(BA44*M45)+(BA46*M47)+(BA48*M49)+(BA50*M51)+(BA52*M53)+(BA54*M55)+(BA56*M57)+(BA58*M59)+(BA60*M61)+(BA62*M63)+(BA64*M65)+(BA66*M67)+(BA68*M69)+(BA70*M71)+(BA72*M73)+(BA74*M75))&lt;=0,1*0,(BA24*M25)+(BA26*M27)+(BA28*M29)+(BA30*M31)+(BA32*M33)+(BA34*M35)+(BA36*M37)+(BA38*M39)+(BA40*M41)+(BA42*M43)+(BA44*M45)+(BA46*M47)+(BA48*M49)+(BA50*M51)+(BA52*M53)+(BA54*M55)+(BA56*M57)+(BA58*M59)+(BA60*M61)+(BA62*M63)+(BA64*M65)+(BA66*M67)+(BA68*M69)+(BA70*M71)+(BA72*M73)+(BA74*M75))</f>
        <v>0</v>
      </c>
      <c r="BB76" s="19">
        <f>IF(((BB24*N25)+(BB26*N27)+(BB28*N29)+(BB30*N31)+(BB32*N33)+(BB34*N35)+(BB36*N37)+(BB38*N39)+(BB40*N41)+(BB42*N43)+(BB44*N45)+(BB46*N47)+(BB48*N49)+(BB50*N51)+(BB52*N53)+(BB54*N55)+(BB56*N57)+(BB58*N59)+(BB60*N61)+(BB62*N63)+(BB64*N65)+(BB66*N67)+(BB68*N69)+(BB70*N71)+(BB72*N73)+(BB74*N75))&lt;=0,1*0,(BB24*N25)+(BB26*N27)+(BB28*N29)+(BB30*N31)+(BB32*N33)+(BB34*N35)+(BB36*N37)+(BB38*N39)+(BB40*N41)+(BB42*N43)+(BB44*N45)+(BB46*N47)+(BB48*N49)+(BB50*N51)+(BB52*N53)+(BB54*N55)+(BB56*N57)+(BB58*N59)+(BB60*N61)+(BB62*N63)+(BB64*N65)+(BB66*N67)+(BB68*N69)+(BB70*N71)+(BB72*N73)+(BB74*N75))</f>
        <v>0</v>
      </c>
      <c r="BC76" s="19">
        <f>IF(((BC24*O25)+(BC26*O27)+(BC28*O29)+(BC30*O31)+(BC32*O33)+(BC34*O35)+(BC36*O37)+(BC38*O39)+(BC40*O41)+(BC42*O43)+(BC44*O45)+(BC46*O47)+(BC48*O49)+(BC50*O51)+(BC52*O53)+(BC54*O55)+(BC56*O57)+(BC58*O59)+(BC60*O61)+(BC62*O63)+(BC64*O65)+(BC66*O67)+(BC68*O69)+(BC70*O71)+(BC72*O73)+(BC74*O75))&lt;=0,1*0,(BC24*O25)+(BC26*O27)+(BC28*O29)+(BC30*O31)+(BC32*O33)+(BC34*O35)+(BC36*O37)+(BC38*O39)+(BC40*O41)+(BC42*O43)+(BC44*O45)+(BC46*O47)+(BC48*O49)+(BC50*O51)+(BC52*O53)+(BC54*O55)+(BC56*O57)+(BC58*O59)+(BC60*O61)+(BC62*O63)+(BC64*O65)+(BC66*O67)+(BC68*O69)+(BC70*O71)+(BC72*O73)+(BC74*O75))</f>
        <v>0</v>
      </c>
      <c r="BD76" s="19">
        <f>IF(((BD24*P25)+(BD26*P27)+(BD28*P29)+(BD30*P31)+(BD32*P33)+(BD34*P35)+(BD36*P37)+(BD38*P39)+(BD40*P41)+(BD42*P43)+(BD44*P45)+(BD46*P47)+(BD48*P49)+(BD50*P51)+(BD52*P53)+(BD54*P55)+(BD56*P57)+(BD58*P59)+(BD60*P61)+(BD62*P63)+(BD64*P65)+(BD66*P67)+(BD68*P69)+(BD70*P71)+(BD72*P73)+(BD74*P75))&lt;=0,1*0,(BD24*P25)+(BD26*P27)+(BD28*P29)+(BD30*P31)+(BD32*P33)+(BD34*P35)+(BD36*P37)+(BD38*P39)+(BD40*P41)+(BD42*P43)+(BD44*P45)+(BD46*P47)+(BD48*P49)+(BD50*P51)+(BD52*P53)+(BD54*P55)+(BD56*P57)+(BD58*P59)+(BD60*P61)+(BD62*P63)+(BD64*P65)+(BD66*P67)+(BD68*P69)+(BD70*P71)+(BD72*P73)+(BD74*P75))</f>
        <v>0</v>
      </c>
      <c r="BE76" s="19">
        <f>IF(((BE24*Q25)+(BE26*Q27)+(BE28*Q29)+(BE30*Q31)+(BE32*Q33)+(BE34*Q35)+(BE36*Q37)+(BE38*Q39)+(BE40*Q41)+(BE42*Q43)+(BE44*Q45)+(BE46*Q47)+(BE48*Q49)+(BE50*Q51)+(BE52*Q53)+(BE54*Q55)+(BE56*Q57)+(BE58*Q59)+(BE60*Q61)+(BE62*Q63)+(BE64*Q65)+(BE66*Q67)+(BE68*Q69)+(BE70*Q71)+(BE72*Q73)+(BE74*Q75))&lt;=0,1*0,(BE24*Q25)+(BE26*Q27)+(BE28*Q29)+(BE30*Q31)+(BE32*Q33)+(BE34*Q35)+(BE36*Q37)+(BE38*Q39)+(BE40*Q41)+(BE42*Q43)+(BE44*Q45)+(BE46*Q47)+(BE48*Q49)+(BE50*Q51)+(BE52*Q53)+(BE54*Q55)+(BE56*Q57)+(BE58*Q59)+(BE60*Q61)+(BE62*Q63)+(BE64*Q65)+(BE66*Q67)+(BE68*Q69)+(BE70*Q71)+(BE72*Q73)+(BE74*Q75))</f>
        <v>2200</v>
      </c>
      <c r="BF76" s="17"/>
      <c r="BG76" s="17"/>
      <c r="BH76" s="17"/>
      <c r="BI76" s="17"/>
      <c r="BJ76" s="17"/>
      <c r="BK76" s="19">
        <f>IF(((BK24*R25)+(BK26*R27)+(BK28*R29)+(BK30*R31)+(BK32*R33)+(BK34*R35)+(BK36*R37)+(BK38*R39)+(BK40*R41)+(BK42*R43)+(BK44*R45)+(BK46*R47)+(BK48*R49)+(BK50*R51)+(BK52*R53)+(BK54*R55)+(BK56*R57)+(BK58*R59)+(BK60*R61)+(BK62*R63)+(BK64*R65)+(BK66*R67)+(BK68*R69)+(BK70*R71)+(BK72*R73)+(BK74*R75))&lt;=0,1*0,(BK24*R25)+(BK26*R27)+(BK28*R29)+(BK30*R31)+(BK32*R33)+(BK34*R35)+(BK36*R37)+(BK38*R39)+(BK40*R41)+(BK42*R43)+(BK44*R45)+(BK46*R47)+(BK48*R49)+(BK50*R51)+(BK52*R53)+(BK54*R55)+(BK56*R57)+(BK58*R59)+(BK60*R61)+(BK62*R63)+(BK64*R65)+(BK66*R67)+(BK68*R69)+(BK70*R71)+(BK72*R73)+(BK74*R75))</f>
        <v>0</v>
      </c>
      <c r="BL76" s="19">
        <f>IF(((BL24*S25)+(BL26*S27)+(BL28*S29)+(BL30*S31)+(BL32*S33)+(BL34*S35)+(BL36*S37)+(BL38*S39)+(BL40*S41)+(BL42*S43)+(BL44*S45)+(BL46*S47)+(BL48*S49)+(BL50*S51)+(BL52*S53)+(BL54*S55)+(BL56*S57)+(BL58*S59)+(BL60*S61)+(BL62*S63)+(BL64*S65)+(BL66*S67)+(BL68*S69)+(BL70*S71)+(BL72*S73)+(BL74*S75))&lt;=0,1*0,(BL24*S25)+(BL26*S27)+(BL28*S29)+(BL30*S31)+(BL32*S33)+(BL34*S35)+(BL36*S37)+(BL38*S39)+(BL40*S41)+(BL42*S43)+(BL44*S45)+(BL46*S47)+(BL48*S49)+(BL50*S51)+(BL52*S53)+(BL54*S55)+(BL56*S57)+(BL58*S59)+(BL60*S61)+(BL62*S63)+(BL64*S65)+(BL66*S67)+(BL68*S69)+(BL70*S71)+(BL72*S73)+(BL74*S75))</f>
        <v>0</v>
      </c>
      <c r="BM76" s="19">
        <f>IF(((BM24*T25)+(BM26*T27)+(BM28*T29)+(BM30*T31)+(BM32*T33)+(BM34*T35)+(BM36*T37)+(BM38*T39)+(BM40*T41)+(BM42*T43)+(BM44*T45)+(BM46*T47)+(BM48*T49)+(BM50*T51)+(BM52*T53)+(BM54*T55)+(BM56*T57)+(BM58*T59)+(BM60*T61)+(BM62*T63)+(BM64*T65)+(BM66*T67)+(BM68*T69)+(BM70*T71)+(BM72*T73)+(BM74*T75))&lt;=0,1*0,(BM24*T25)+(BM26*T27)+(BM28*T29)+(BM30*T31)+(BM32*T33)+(BM34*T35)+(BM36*T37)+(BM38*T39)+(BM40*T41)+(BM42*T43)+(BM44*T45)+(BM46*T47)+(BM48*T49)+(BM50*T51)+(BM52*T53)+(BM54*T55)+(BM56*T57)+(BM58*T59)+(BM60*T61)+(BM62*T63)+(BM64*T65)+(BM66*T67)+(BM68*T69)+(BM70*T71)+(BM72*T73)+(BM74*T75))</f>
        <v>0</v>
      </c>
      <c r="BN76" s="19">
        <f>IF(((BN24*U25)+(BN26*U27)+(BN28*U29)+(BN30*U31)+(BN32*U33)+(BN34*U35)+(BN36*U37)+(BN38*U39)+(BN40*U41)+(BN42*U43)+(BN44*U45)+(BN46*U47)+(BN48*U49)+(BN50*U51)+(BN52*U53)+(BN54*U55)+(BN56*U57)+(BN58*U59)+(BN60*U61)+(BN62*U63)+(BN64*U65)+(BN66*U67)+(BN68*U69)+(BN70*U71)+(BN72*U73)+(BN74*U75))&lt;=0,1*0,(BN24*U25)+(BN26*U27)+(BN28*U29)+(BN30*U31)+(BN32*U33)+(BN34*U35)+(BN36*U37)+(BN38*U39)+(BN40*U41)+(BN42*U43)+(BN44*U45)+(BN46*U47)+(BN48*U49)+(BN50*U51)+(BN52*U53)+(BN54*U55)+(BN56*U57)+(BN58*U59)+(BN60*U61)+(BN62*U63)+(BN64*U65)+(BN66*U67)+(BN68*U69)+(BN70*U71)+(BN72*U73)+(BN74*U75))</f>
        <v>0</v>
      </c>
      <c r="BO76" s="19">
        <f>IF(((BO24*V25)+(BO26*V27)+(BO28*V29)+(BO30*V31)+(BO32*V33)+(BO34*V35)+(BO36*V37)+(BO38*V39)+(BO40*V41)+(BO42*V43)+(BO44*V45)+(BO46*V47)+(BO48*V49)+(BO50*V51)+(BO52*V53)+(BO54*V55)+(BO56*V57)+(BO58*V59)+(BO60*V61)+(BO62*V63)+(BO64*V65)+(BO66*V67)+(BO68*V69)+(BO70*V71)+(BO72*V73)+(BO74*V75))&lt;=0,1*0,(BO24*V25)+(BO26*V27)+(BO28*V29)+(BO30*V31)+(BO32*V33)+(BO34*V35)+(BO36*V37)+(BO38*V39)+(BO40*V41)+(BO42*V43)+(BO44*V45)+(BO46*V47)+(BO48*V49)+(BO50*V51)+(BO52*V53)+(BO54*V55)+(BO56*V57)+(BO58*V59)+(BO60*V61)+(BO62*V63)+(BO64*V65)+(BO66*V67)+(BO68*V69)+(BO70*V71)+(BO72*V73)+(BO74*V75))</f>
        <v>0</v>
      </c>
      <c r="BP76" s="19">
        <f>IF(((BP24*W25)+(BP26*W27)+(BP28*W29)+(BP30*W31)+(BP32*W33)+(BP34*W35)+(BP36*W37)+(BP38*W39)+(BP40*W41)+(BP42*W43)+(BP44*W45)+(BP46*W47)+(BP48*W49)+(BP50*W51)+(BP52*W53)+(BP54*W55)+(BP56*W57)+(BP58*W59)+(BP60*W61)+(BP62*W63)+(BP64*W65)+(BP66*W67)+(BP68*W69)+(BP70*W71)+(BP72*W73)+(BP74*W75))&lt;=0,1*0,(BP24*W25)+(BP26*W27)+(BP28*W29)+(BP30*W31)+(BP32*W33)+(BP34*W35)+(BP36*W37)+(BP38*W39)+(BP40*W41)+(BP42*W43)+(BP44*W45)+(BP46*W47)+(BP48*W49)+(BP50*W51)+(BP52*W53)+(BP54*W55)+(BP56*W57)+(BP58*W59)+(BP60*W61)+(BP62*W63)+(BP64*W65)+(BP66*W67)+(BP68*W69)+(BP70*W71)+(BP72*W73)+(BP74*W75))</f>
        <v>0</v>
      </c>
      <c r="BQ76" s="19">
        <f>IF(((BQ24*X25)+(BQ26*X27)+(BQ28*X29)+(BQ30*X31)+(BQ32*X33)+(BQ34*X35)+(BQ36*X37)+(BQ38*X39)+(BQ40*X41)+(BQ42*X43)+(BQ44*X45)+(BQ46*X47)+(BQ48*X49)+(BQ50*X51)+(BQ52*X53)+(BQ54*X55)+(BQ56*X57)+(BQ58*X59)+(BQ60*X61)+(BQ62*X63)+(BQ64*X65)+(BQ66*X67)+(BQ68*X69)+(BQ70*X71)+(BQ72*X73)+(BQ74*X75))&lt;=0,1*0,(BQ24*X25)+(BQ26*X27)+(BQ28*X29)+(BQ30*X31)+(BQ32*X33)+(BQ34*X35)+(BQ36*X37)+(BQ38*X39)+(BQ40*X41)+(BQ42*X43)+(BQ44*X45)+(BQ46*X47)+(BQ48*X49)+(BQ50*X51)+(BQ52*X53)+(BQ54*X55)+(BQ56*X57)+(BQ58*X59)+(BQ60*X61)+(BQ62*X63)+(BQ64*X65)+(BQ66*X67)+(BQ68*X69)+(BQ70*X71)+(BQ72*X73)+(BQ74*X75))</f>
        <v>2200</v>
      </c>
      <c r="BR76" s="19">
        <f>IF(((BR24*Y25)+(BR26*Y27)+(BR28*Y29)+(BR30*Y31)+(BR32*Y33)+(BR34*Y35)+(BR36*Y37)+(BR38*Y39)+(BR40*Y41)+(BR42*Y43)+(BR44*Y45)+(BR46*Y47)+(BR48*Y49)+(BR50*Y51)+(BR52*Y53)+(BR54*Y55)+(BR56*Y57)+(BR58*Y59)+(BR60*Y61)+(BR62*Y63)+(BR64*Y65)+(BR66*Y67)+(BR68*Y69)+(BR70*Y71)+(BR72*Y73)+(BR74*Y75))&lt;=0,1*0,(BR24*Y25)+(BR26*Y27)+(BR28*Y29)+(BR30*Y31)+(BR32*Y33)+(BR34*Y35)+(BR36*Y37)+(BR38*Y39)+(BR40*Y41)+(BR42*Y43)+(BR44*Y45)+(BR46*Y47)+(BR48*Y49)+(BR50*Y51)+(BR52*Y53)+(BR54*Y55)+(BR56*Y57)+(BR58*Y59)+(BR60*Y61)+(BR62*Y63)+(BR64*Y65)+(BR66*Y67)+(BR68*Y69)+(BR70*Y71)+(BR72*Y73)+(BR74*Y75))</f>
        <v>0</v>
      </c>
      <c r="BS76" s="19">
        <f>IF(((BS24*Z25)+(BS26*Z27)+(BS28*Z29)+(BS30*Z31)+(BS32*Z33)+(BS34*Z35)+(BS36*Z37)+(BS38*Z39)+(BS40*Z41)+(BS42*Z43)+(BS44*Z45)+(BS46*Z47)+(BS48*Z49)+(BS50*Z51)+(BS52*Z53)+(BS54*Z55)+(BS56*Z57)+(BS58*Z59)+(BS60*Z61)+(BS62*Z63)+(BS64*Z65)+(BS66*Z67)+(BS68*Z69)+(BS70*Z71)+(BS72*Z73)+(BS74*Z75))&lt;=0,1*0,(BS24*Z25)+(BS26*Z27)+(BS28*Z29)+(BS30*Z31)+(BS32*Z33)+(BS34*Z35)+(BS36*Z37)+(BS38*Z39)+(BS40*Z41)+(BS42*Z43)+(BS44*Z45)+(BS46*Z47)+(BS48*Z49)+(BS50*Z51)+(BS52*Z53)+(BS54*Z55)+(BS56*Z57)+(BS58*Z59)+(BS60*Z61)+(BS62*Z63)+(BS64*Z65)+(BS66*Z67)+(BS68*Z69)+(BS70*Z71)+(BS72*Z73)+(BS74*Z75))</f>
        <v>0</v>
      </c>
      <c r="BT76" s="19">
        <f>IF(((BT24*AA25)+(BT26*AA27)+(BT28*AA29)+(BT30*AA31)+(BT32*AA33)+(BT34*AA35)+(BT36*AA37)+(BT38*AA39)+(BT40*AA41)+(BT42*AA43)+(BT44*AA45)+(BT46*AA47)+(BT48*AA49)+(BT50*AA51)+(BT52*AA53)+(BT54*AA55)+(BT56*AA57)+(BT58*AA59)+(BT60*AA61)+(BT62*AA63)+(BT64*AA65)+(BT66*AA67)+(BT68*AA69)+(BT70*AA71)+(BT72*AA73)+(BT74*AA75))&lt;=0,1*0,(BT24*AA25)+(BT26*AA27)+(BT28*AA29)+(BT30*AA31)+(BT32*AA33)+(BT34*AA35)+(BT36*AA37)+(BT38*AA39)+(BT40*AA41)+(BT42*AA43)+(BT44*AA45)+(BT46*AA47)+(BT48*AA49)+(BT50*AA51)+(BT52*AA53)+(BT54*AA55)+(BT56*AA57)+(BT58*AA59)+(BT60*AA61)+(BT62*AA63)+(BT64*AA65)+(BT66*AA67)+(BT68*AA69)+(BT70*AA71)+(BT72*AA73)+(BT74*AA75))</f>
        <v>0</v>
      </c>
      <c r="BU76" s="19">
        <f>IF(((BU24*AB25)+(BU26*AB27)+(BU28*AB29)+(BU30*AB31)+(BU32*AB33)+(BU34*AB35)+(BU36*AB37)+(BU38*AB39)+(BU40*AB41)+(BU42*AB43)+(BU44*AB45)+(BU46*AB47)+(BU48*AB49)+(BU50*AB51)+(BU52*AB53)+(BU54*AB55)+(BU56*AB57)+(BU58*AB59)+(BU60*AB61)+(BU62*AB63)+(BU64*AB65)+(BU66*AB67)+(BU68*AB69)+(BU70*AB71)+(BU72*AB73)+(BU74*AB75))&lt;=0,1*0,(BU24*AB25)+(BU26*AB27)+(BU28*AB29)+(BU30*AB31)+(BU32*AB33)+(BU34*AB35)+(BU36*AB37)+(BU38*AB39)+(BU40*AB41)+(BU42*AB43)+(BU44*AB45)+(BU46*AB47)+(BU48*AB49)+(BU50*AB51)+(BU52*AB53)+(BU54*AB55)+(BU56*AB57)+(BU58*AB59)+(BU60*AB61)+(BU62*AB63)+(BU64*AB65)+(BU66*AB67)+(BU68*AB69)+(BU70*AB71)+(BU72*AB73)+(BU74*AB75))</f>
        <v>0</v>
      </c>
      <c r="BV76" s="19">
        <f>IF(((BV24*AC25)+(BV26*AC27)+(BV28*AC29)+(BV30*AC31)+(BV32*AC33)+(BV34*AC35)+(BV36*AC37)+(BV38*AC39)+(BV40*AC41)+(BV42*AC43)+(BV44*AC45)+(BV46*AC47)+(BV48*AC49)+(BV50*AC51)+(BV52*AC53)+(BV54*AC55)+(BV56*AC57)+(BV58*AC59)+(BV60*AC61)+(BV62*AC63)+(BV64*AC65)+(BV66*AC67)+(BV68*AC69)+(BV70*AC71)+(BV72*AC73)+(BV74*AC75))&lt;=0,1*0,(BV24*AC25)+(BV26*AC27)+(BV28*AC29)+(BV30*AC31)+(BV32*AC33)+(BV34*AC35)+(BV36*AC37)+(BV38*AC39)+(BV40*AC41)+(BV42*AC43)+(BV44*AC45)+(BV46*AC47)+(BV48*AC49)+(BV50*AC51)+(BV52*AC53)+(BV54*AC55)+(BV56*AC57)+(BV58*AC59)+(BV60*AC61)+(BV62*AC63)+(BV64*AC65)+(BV66*AC67)+(BV68*AC69)+(BV70*AC71)+(BV72*AC73)+(BV74*AC75))</f>
        <v>0</v>
      </c>
      <c r="BW76" s="19">
        <f>IF(((BW24*AD25)+(BW26*AD27)+(BW28*AD29)+(BW30*AD31)+(BW32*AD33)+(BW34*AD35)+(BW36*AD37)+(BW38*AD39)+(BW40*AD41)+(BW42*AD43)+(BW44*AD45)+(BW46*AD47)+(BW48*AD49)+(BW50*AD51)+(BW52*AD53)+(BW54*AD55)+(BW56*AD57)+(BW58*AD59)+(BW60*AD61)+(BW62*AD63)+(BW64*AD65)+(BW66*AD67)+(BW68*AD69)+(BW70*AD71)+(BW72*AD73)+(BW74*AD75))&lt;=0,1*0,(BW24*AD25)+(BW26*AD27)+(BW28*AD29)+(BW30*AD31)+(BW32*AD33)+(BW34*AD35)+(BW36*AD37)+(BW38*AD39)+(BW40*AD41)+(BW42*AD43)+(BW44*AD45)+(BW46*AD47)+(BW48*AD49)+(BW50*AD51)+(BW52*AD53)+(BW54*AD55)+(BW56*AD57)+(BW58*AD59)+(BW60*AD61)+(BW62*AD63)+(BW64*AD65)+(BW66*AD67)+(BW68*AD69)+(BW70*AD71)+(BW72*AD73)+(BW74*AD75))</f>
        <v>0</v>
      </c>
      <c r="BX76" s="19">
        <f>IF(((BX24*AE25)+(BX26*AE27)+(BX28*AE29)+(BX30*AE31)+(BX32*AE33)+(BX34*AE35)+(BX36*AE37)+(BX38*AE39)+(BX40*AE41)+(BX42*AE43)+(BX44*AE45)+(BX46*AE47)+(BX48*AE49)+(BX50*AE51)+(BX52*AE53)+(BX54*AE55)+(BX56*AE57)+(BX58*AE59)+(BX60*AE61)+(BX62*AE63)+(BX64*AE65)+(BX66*AE67)+(BX68*AE69)+(BX70*AE71)+(BX72*AE73)+(BX74*AE75))&lt;=0,1*0,(BX24*AE25)+(BX26*AE27)+(BX28*AE29)+(BX30*AE31)+(BX32*AE33)+(BX34*AE35)+(BX36*AE37)+(BX38*AE39)+(BX40*AE41)+(BX42*AE43)+(BX44*AE45)+(BX46*AE47)+(BX48*AE49)+(BX50*AE51)+(BX52*AE53)+(BX54*AE55)+(BX56*AE57)+(BX58*AE59)+(BX60*AE61)+(BX62*AE63)+(BX64*AE65)+(BX66*AE67)+(BX68*AE69)+(BX70*AE71)+(BX72*AE73)+(BX74*AE75))</f>
        <v>2200</v>
      </c>
      <c r="BY76" s="19">
        <f>IF(((BY24*AF25)+(BY26*AF27)+(BY28*AF29)+(BY30*AF31)+(BY32*AF33)+(BY34*AF35)+(BY36*AF37)+(BY38*AF39)+(BY40*AF41)+(BY42*AF43)+(BY44*AF45)+(BY46*AF47)+(BY48*AF49)+(BY50*AF51)+(BY52*AF53)+(BY54*AF55)+(BY56*AF57)+(BY58*AF59)+(BY60*AF61)+(BY62*AF63)+(BY64*AF65)+(BY66*AF67)+(BY68*AF69)+(BY70*AF71)+(BY72*AF73)+(BY74*AF75))&lt;=0,1*0,(BY24*AF25)+(BY26*AF27)+(BY28*AF29)+(BY30*AF31)+(BY32*AF33)+(BY34*AF35)+(BY36*AF37)+(BY38*AF39)+(BY40*AF41)+(BY42*AF43)+(BY44*AF45)+(BY46*AF47)+(BY48*AF49)+(BY50*AF51)+(BY52*AF53)+(BY54*AF55)+(BY56*AF57)+(BY58*AF59)+(BY60*AF61)+(BY62*AF63)+(BY64*AF65)+(BY66*AF67)+(BY68*AF69)+(BY70*AF71)+(BY72*AF73)+(BY74*AF75))</f>
        <v>0</v>
      </c>
      <c r="BZ76" s="32" t="s">
        <v>8</v>
      </c>
      <c r="CA76" s="104">
        <f>IF((CA25+CA27+CA29+CA31+CA33+CA35+CA37+CA39+CA41+CA43+CA45+CA47+CA49+CA51+CA53+CA55+CA57+CA59+CA61+CA63+CA65+CA67+CA69+CA71+CA73+CA75)&lt;=0,"",CA25+CA27+CA29+CA31+CA33+CA35+CA37+CA39+CA41+CA43+CA45+CA47+CA49+CA51+CA53+CA55+CA57+CA59+CA61+CA63+CA65+CA67+CA69+CA71+CA73+CA75)</f>
        <v>11000</v>
      </c>
      <c r="CB76" s="105">
        <f>CB24+CB26+CB28+CB30+CB32+CB34+CB36+CB38+CB40+CB42+CB44+CB46+CB48+CB50+CB52+CB54+CB56+CB58+CB60+CB62+CB64+CB66+CB68+CB70+CB72+CB74</f>
        <v>11000</v>
      </c>
      <c r="CC76" s="106">
        <f>CC24+CC26+CC28+CC30+CC32+CC34+CC36+CC38+CC40+CC42+CC44+CC46+CC48+CC50+CC52+CC54+CC56+CC58+CC60+CC62+CC64+CC66+CC68+CC70+CC72+CC74</f>
        <v>12400</v>
      </c>
      <c r="CD76" s="105">
        <f>CD24+CD26+CD28+CD30+CD32+CD34+CD36+CD38+CD40+CD42+CD44+CD46+CD48+CD50+CD52+CD54+CD56+CD58+CD60+CD62+CD64+CD66+CD68+CD70+CD72+CD74</f>
        <v>12400</v>
      </c>
      <c r="CE76" s="11"/>
      <c r="CF76" s="11"/>
      <c r="CG76" s="11"/>
      <c r="CH76" s="12"/>
      <c r="CI76" s="12"/>
      <c r="CJ76" s="12"/>
      <c r="CK76" s="12"/>
      <c r="CL76" s="12"/>
      <c r="CM76" s="12"/>
      <c r="CN76" s="12"/>
      <c r="CO76" s="12"/>
      <c r="CP76" s="12"/>
    </row>
    <row r="77" spans="1:162" ht="17.25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M77" s="70" t="s">
        <v>22</v>
      </c>
      <c r="AN77" s="95"/>
      <c r="AO77" s="38"/>
      <c r="AP77" s="25">
        <f>AP76</f>
        <v>0</v>
      </c>
      <c r="AQ77" s="25">
        <f t="shared" ref="AQ77:BE77" si="76">AQ76+AP77</f>
        <v>2200</v>
      </c>
      <c r="AR77" s="25">
        <f t="shared" si="76"/>
        <v>2200</v>
      </c>
      <c r="AS77" s="25">
        <f t="shared" si="76"/>
        <v>2200</v>
      </c>
      <c r="AT77" s="25">
        <f t="shared" si="76"/>
        <v>2200</v>
      </c>
      <c r="AU77" s="25">
        <f t="shared" si="76"/>
        <v>2200</v>
      </c>
      <c r="AV77" s="25">
        <f t="shared" si="76"/>
        <v>2200</v>
      </c>
      <c r="AW77" s="25">
        <f t="shared" si="76"/>
        <v>2200</v>
      </c>
      <c r="AX77" s="25">
        <f t="shared" si="76"/>
        <v>4400</v>
      </c>
      <c r="AY77" s="25">
        <f t="shared" si="76"/>
        <v>4400</v>
      </c>
      <c r="AZ77" s="25">
        <f t="shared" si="76"/>
        <v>4400</v>
      </c>
      <c r="BA77" s="25">
        <f t="shared" si="76"/>
        <v>4400</v>
      </c>
      <c r="BB77" s="25">
        <f t="shared" si="76"/>
        <v>4400</v>
      </c>
      <c r="BC77" s="25">
        <f t="shared" si="76"/>
        <v>4400</v>
      </c>
      <c r="BD77" s="25">
        <f t="shared" si="76"/>
        <v>4400</v>
      </c>
      <c r="BE77" s="25">
        <f t="shared" si="76"/>
        <v>6600</v>
      </c>
      <c r="BF77" s="17"/>
      <c r="BG77" s="17"/>
      <c r="BH77" s="17"/>
      <c r="BI77" s="17"/>
      <c r="BJ77" s="17"/>
      <c r="BK77" s="25">
        <f>BK76+BE77</f>
        <v>6600</v>
      </c>
      <c r="BL77" s="25">
        <f t="shared" ref="BL77:BY77" si="77">BL76+BK77</f>
        <v>6600</v>
      </c>
      <c r="BM77" s="25">
        <f t="shared" si="77"/>
        <v>6600</v>
      </c>
      <c r="BN77" s="25">
        <f t="shared" si="77"/>
        <v>6600</v>
      </c>
      <c r="BO77" s="25">
        <f t="shared" si="77"/>
        <v>6600</v>
      </c>
      <c r="BP77" s="25">
        <f t="shared" si="77"/>
        <v>6600</v>
      </c>
      <c r="BQ77" s="25">
        <f t="shared" si="77"/>
        <v>8800</v>
      </c>
      <c r="BR77" s="25">
        <f t="shared" si="77"/>
        <v>8800</v>
      </c>
      <c r="BS77" s="25">
        <f t="shared" si="77"/>
        <v>8800</v>
      </c>
      <c r="BT77" s="25">
        <f t="shared" si="77"/>
        <v>8800</v>
      </c>
      <c r="BU77" s="25">
        <f t="shared" si="77"/>
        <v>8800</v>
      </c>
      <c r="BV77" s="25">
        <f t="shared" si="77"/>
        <v>8800</v>
      </c>
      <c r="BW77" s="25">
        <f t="shared" si="77"/>
        <v>8800</v>
      </c>
      <c r="BX77" s="25">
        <f t="shared" si="77"/>
        <v>11000</v>
      </c>
      <c r="BY77" s="25">
        <f t="shared" si="77"/>
        <v>11000</v>
      </c>
      <c r="BZ77" s="18"/>
      <c r="CA77" s="107" t="s">
        <v>9</v>
      </c>
      <c r="CB77" s="108" t="s">
        <v>11</v>
      </c>
      <c r="CC77" s="107" t="s">
        <v>12</v>
      </c>
      <c r="CD77" s="108" t="s">
        <v>10</v>
      </c>
      <c r="CE77" s="11"/>
      <c r="CF77" s="11"/>
      <c r="CG77" s="11"/>
      <c r="CH77" s="12"/>
      <c r="CI77" s="12"/>
      <c r="CJ77" s="12"/>
      <c r="CK77" s="12"/>
      <c r="CL77" s="12"/>
      <c r="CM77" s="12"/>
      <c r="CN77" s="12"/>
      <c r="CO77" s="12"/>
      <c r="CP77" s="12"/>
    </row>
    <row r="78" spans="1:162" ht="17.25" customHeight="1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M78" s="71"/>
      <c r="AN78" s="102"/>
      <c r="AO78" s="31"/>
      <c r="AP78" s="15" t="str">
        <f t="shared" ref="AP78:BE78" si="78">AP23</f>
        <v>Jeudi</v>
      </c>
      <c r="AQ78" s="15" t="str">
        <f t="shared" si="78"/>
        <v>Vendredi</v>
      </c>
      <c r="AR78" s="15" t="str">
        <f t="shared" si="78"/>
        <v>Samedi</v>
      </c>
      <c r="AS78" s="15" t="str">
        <f t="shared" si="78"/>
        <v>Dimanche</v>
      </c>
      <c r="AT78" s="15" t="str">
        <f t="shared" si="78"/>
        <v>Lundi</v>
      </c>
      <c r="AU78" s="15" t="str">
        <f t="shared" si="78"/>
        <v>Mardi</v>
      </c>
      <c r="AV78" s="15" t="str">
        <f t="shared" si="78"/>
        <v>Mercredi</v>
      </c>
      <c r="AW78" s="15" t="str">
        <f t="shared" si="78"/>
        <v>Jeudi</v>
      </c>
      <c r="AX78" s="15" t="str">
        <f t="shared" si="78"/>
        <v>Vendredi</v>
      </c>
      <c r="AY78" s="15" t="str">
        <f t="shared" si="78"/>
        <v>Samedi</v>
      </c>
      <c r="AZ78" s="15" t="str">
        <f t="shared" si="78"/>
        <v>Dimanche</v>
      </c>
      <c r="BA78" s="15" t="str">
        <f t="shared" si="78"/>
        <v>Lundi</v>
      </c>
      <c r="BB78" s="15" t="str">
        <f t="shared" si="78"/>
        <v>Mardi</v>
      </c>
      <c r="BC78" s="15" t="str">
        <f t="shared" si="78"/>
        <v>Mercredi</v>
      </c>
      <c r="BD78" s="15" t="str">
        <f t="shared" si="78"/>
        <v>Jeudi</v>
      </c>
      <c r="BE78" s="15" t="str">
        <f t="shared" si="78"/>
        <v>Vendredi</v>
      </c>
      <c r="BK78" s="15" t="str">
        <f t="shared" ref="BK78:BY78" si="79">BK23</f>
        <v>Samedi</v>
      </c>
      <c r="BL78" s="15" t="str">
        <f t="shared" si="79"/>
        <v>Dimanche</v>
      </c>
      <c r="BM78" s="15" t="str">
        <f t="shared" si="79"/>
        <v>Lundi</v>
      </c>
      <c r="BN78" s="15" t="str">
        <f t="shared" si="79"/>
        <v>Mardi</v>
      </c>
      <c r="BO78" s="15" t="str">
        <f t="shared" si="79"/>
        <v>Mercredi</v>
      </c>
      <c r="BP78" s="15" t="str">
        <f t="shared" si="79"/>
        <v>Jeudi</v>
      </c>
      <c r="BQ78" s="15" t="str">
        <f t="shared" si="79"/>
        <v>Vendredi</v>
      </c>
      <c r="BR78" s="15" t="str">
        <f t="shared" si="79"/>
        <v>Samedi</v>
      </c>
      <c r="BS78" s="15" t="str">
        <f t="shared" si="79"/>
        <v>Dimanche</v>
      </c>
      <c r="BT78" s="15" t="str">
        <f t="shared" si="79"/>
        <v>Lundi</v>
      </c>
      <c r="BU78" s="15" t="str">
        <f t="shared" si="79"/>
        <v>Mardi</v>
      </c>
      <c r="BV78" s="15" t="str">
        <f t="shared" si="79"/>
        <v>Mercredi</v>
      </c>
      <c r="BW78" s="15" t="str">
        <f t="shared" si="79"/>
        <v>Jeudi</v>
      </c>
      <c r="BX78" s="15" t="str">
        <f t="shared" si="79"/>
        <v>Vendredi</v>
      </c>
      <c r="BY78" s="15" t="str">
        <f t="shared" si="79"/>
        <v>Samedi</v>
      </c>
      <c r="BZ78" s="13"/>
      <c r="CA78" s="109"/>
      <c r="CB78" s="110"/>
      <c r="CC78" s="109"/>
      <c r="CD78" s="110"/>
      <c r="CE78" s="13"/>
      <c r="CF78" s="13"/>
      <c r="CG78" s="13"/>
      <c r="CH78" s="14"/>
      <c r="CI78" s="14"/>
      <c r="CJ78" s="14"/>
      <c r="CK78" s="14"/>
      <c r="CL78" s="14"/>
      <c r="CM78" s="14"/>
      <c r="CN78" s="14"/>
      <c r="CO78" s="14"/>
      <c r="CP78" s="14"/>
    </row>
  </sheetData>
  <mergeCells count="9">
    <mergeCell ref="CB77:CB78"/>
    <mergeCell ref="CC77:CC78"/>
    <mergeCell ref="CD77:CD78"/>
    <mergeCell ref="CA77:CA78"/>
    <mergeCell ref="AO22:AO23"/>
    <mergeCell ref="BZ22:CA23"/>
    <mergeCell ref="CB22:CB23"/>
    <mergeCell ref="CC22:CC23"/>
    <mergeCell ref="CD22:CD23"/>
  </mergeCells>
  <printOptions horizontalCentered="1" verticalCentered="1"/>
  <pageMargins left="0.55118110236220474" right="0.55118110236220474" top="0.23622047244094491" bottom="0.27559055118110237" header="0" footer="0"/>
  <pageSetup paperSize="9" pageOrder="overThenDown" orientation="landscape" horizontalDpi="4294967292" verticalDpi="4294967292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2027 pour imprimer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Detkaenot</dc:creator>
  <cp:lastModifiedBy>PC4</cp:lastModifiedBy>
  <cp:lastPrinted>2025-06-01T06:31:17Z</cp:lastPrinted>
  <dcterms:created xsi:type="dcterms:W3CDTF">2022-02-15T09:15:34Z</dcterms:created>
  <dcterms:modified xsi:type="dcterms:W3CDTF">2026-01-15T08:22:22Z</dcterms:modified>
</cp:coreProperties>
</file>